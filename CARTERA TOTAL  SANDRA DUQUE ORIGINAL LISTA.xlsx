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628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D7EEB3A3-C75C-43CD-903B-A6D7B3270D1E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ACTIVO" sheetId="1" r:id="rId1"/>
    <sheet name="CASTIGADO" sheetId="4" r:id="rId2"/>
    <sheet name="Hoja1" sheetId="5" r:id="rId3"/>
    <sheet name="Hoja2" sheetId="2" state="hidden" r:id="rId4"/>
  </sheets>
  <definedNames>
    <definedName name="_xlnm._FilterDatabase" localSheetId="1" hidden="1">CASTIGADO!$A$1:$E$81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6" i="1" l="1"/>
  <c r="E45" i="1"/>
  <c r="E81" i="4" l="1"/>
  <c r="E35" i="4" l="1"/>
  <c r="E50" i="4"/>
  <c r="E70" i="4"/>
  <c r="E71" i="4"/>
  <c r="E10" i="4"/>
  <c r="E29" i="4"/>
  <c r="E52" i="4"/>
  <c r="E3" i="4"/>
  <c r="E21" i="4"/>
  <c r="E4" i="4"/>
  <c r="E26" i="4"/>
  <c r="E72" i="4"/>
  <c r="E5" i="4"/>
  <c r="E73" i="4"/>
  <c r="E53" i="4"/>
  <c r="E67" i="4"/>
  <c r="E38" i="4"/>
  <c r="E8" i="4"/>
  <c r="E7" i="4"/>
  <c r="E66" i="4"/>
  <c r="E69" i="4"/>
  <c r="E31" i="4"/>
  <c r="E27" i="4"/>
  <c r="E13" i="4"/>
  <c r="E37" i="4"/>
  <c r="E19" i="4"/>
  <c r="E12" i="4"/>
  <c r="E14" i="4"/>
  <c r="E43" i="4"/>
  <c r="E11" i="4"/>
  <c r="E44" i="4"/>
  <c r="E30" i="4"/>
  <c r="E16" i="4"/>
  <c r="E15" i="4"/>
  <c r="E23" i="4"/>
  <c r="E68" i="4"/>
  <c r="E56" i="4"/>
  <c r="E46" i="4"/>
  <c r="E22" i="4"/>
  <c r="E42" i="4"/>
  <c r="E58" i="4"/>
  <c r="E25" i="4"/>
  <c r="E24" i="4"/>
  <c r="E74" i="4"/>
  <c r="E39" i="4"/>
  <c r="E61" i="4"/>
  <c r="E17" i="4"/>
  <c r="E36" i="4"/>
  <c r="E6" i="4"/>
  <c r="E48" i="4"/>
  <c r="E47" i="4"/>
  <c r="E80" i="4"/>
  <c r="E75" i="4"/>
  <c r="E64" i="4"/>
  <c r="E65" i="4"/>
  <c r="E60" i="4"/>
  <c r="E41" i="4"/>
  <c r="E9" i="4"/>
  <c r="E49" i="4"/>
  <c r="E45" i="4"/>
  <c r="E51" i="4"/>
  <c r="E18" i="4"/>
  <c r="E20" i="4"/>
  <c r="E63" i="4"/>
  <c r="E62" i="4"/>
  <c r="E32" i="4"/>
  <c r="E28" i="4"/>
  <c r="E79" i="4"/>
  <c r="E76" i="4"/>
  <c r="E33" i="4"/>
  <c r="E34" i="4"/>
  <c r="E78" i="4"/>
  <c r="E77" i="4"/>
  <c r="E40" i="4"/>
  <c r="E59" i="4"/>
  <c r="E54" i="4"/>
  <c r="E57" i="4"/>
  <c r="E55" i="4"/>
  <c r="E2" i="4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2" i="1"/>
  <c r="E82" i="4" l="1"/>
  <c r="E47" i="1"/>
  <c r="D47" i="1"/>
  <c r="F19" i="2" l="1"/>
  <c r="B7" i="2" l="1"/>
  <c r="F7" i="2" l="1"/>
  <c r="E7" i="2"/>
</calcChain>
</file>

<file path=xl/sharedStrings.xml><?xml version="1.0" encoding="utf-8"?>
<sst xmlns="http://schemas.openxmlformats.org/spreadsheetml/2006/main" count="184" uniqueCount="154">
  <si>
    <t>SIERRA GOMEZ ALEXANDER</t>
  </si>
  <si>
    <t>RINCON ARIAS ANGEL RAMON</t>
  </si>
  <si>
    <t>RODRIGUEZ MARIN ADRIANA MARCELA</t>
  </si>
  <si>
    <t>MELO CARRILLO ESTELA</t>
  </si>
  <si>
    <t>PARRA PEREIRA MAURICIO</t>
  </si>
  <si>
    <t>ARREDONDO RODRIGUEZ FANNY</t>
  </si>
  <si>
    <t>LIZARAZO RODRIGUEZ SANDRA MILENA</t>
  </si>
  <si>
    <t>TOVAR SANTISTEBAN CARLOS URIEL</t>
  </si>
  <si>
    <t>MARTIN SANCHEZ LUIS MARIO</t>
  </si>
  <si>
    <t>MURCIA ALONSO MARTIN</t>
  </si>
  <si>
    <t>PAEZ RUIZ GLADYS ELISA</t>
  </si>
  <si>
    <t>VILLAMIL SANCHEZ HEVER</t>
  </si>
  <si>
    <t>SANCHEZ VIEDA JOHN JAIRO</t>
  </si>
  <si>
    <t>TORRES RINCON CRISTIAN EDUARDO</t>
  </si>
  <si>
    <t>MEDINA CANIZALES ADRIANA CAROLINA</t>
  </si>
  <si>
    <t>MUNOZ RINCON ANA MILENA</t>
  </si>
  <si>
    <t>RODRIGUEZ TORRES JAVIER</t>
  </si>
  <si>
    <t>CORREA GIRALDO JUAN DAVID</t>
  </si>
  <si>
    <t>ALVARADO BELLO ANGELA EDITH</t>
  </si>
  <si>
    <t>DIAZ ROCHA EDNA ROCIO</t>
  </si>
  <si>
    <t>GOMEZ ALONSO JOHN ALEXANDER</t>
  </si>
  <si>
    <t>GUTIERREZ BARRETO DORIS</t>
  </si>
  <si>
    <t>AVILA  FREDY ARMANDO</t>
  </si>
  <si>
    <t>GUZMAN NINO CARLOS ALEXANDER</t>
  </si>
  <si>
    <t>MERCADO RIVERA KEVIN JOSE</t>
  </si>
  <si>
    <t>BOLIVAR ROJAS TULIO ALONSO</t>
  </si>
  <si>
    <t>VELA JIMENEZ MARTHA CECILIA</t>
  </si>
  <si>
    <t>GARNICA GARNICA HECTOR JULIO</t>
  </si>
  <si>
    <t>MANJARRES LONDONO ARNOL</t>
  </si>
  <si>
    <t>TAFUR CRUZ DORIS PATRICIA DEL PILAR</t>
  </si>
  <si>
    <t>DUARTE VANEGAS ANDRES FELIPE</t>
  </si>
  <si>
    <t>WALTEROS MARTINEZ NEIDER FABIAN</t>
  </si>
  <si>
    <t>LOPEZ CASTELLANOS MARY</t>
  </si>
  <si>
    <t>NEUSA CONTRERAS JOSE RUBEN</t>
  </si>
  <si>
    <t>MESA GONZALEZ VICTOR ALFONSO</t>
  </si>
  <si>
    <t>MALAVER URIBE MARTHA LUCIA</t>
  </si>
  <si>
    <t>ALARCON  JOSE DOMINGO</t>
  </si>
  <si>
    <t>ROZO PERDIGON JAIME OSWALDO</t>
  </si>
  <si>
    <t>GONZALEZ PATINO OLIVA</t>
  </si>
  <si>
    <t>CHAVARRO CHAVARRO EDUARDO</t>
  </si>
  <si>
    <t>HURTADO CORDOBA AURORA</t>
  </si>
  <si>
    <t>GUTIERREZ GUTIERREZ CARLOS YOSNEY</t>
  </si>
  <si>
    <t>LOZANO RODRIGUEZ NINI LORENA</t>
  </si>
  <si>
    <t>NINO CHISNES JAIRO EDUARDO</t>
  </si>
  <si>
    <t>ORTIZ TORRES OLIVO</t>
  </si>
  <si>
    <t>GUZMAN MURCIA MARIA ROCIO</t>
  </si>
  <si>
    <t>CUEVAS CUVIDES MARTHA LILIANA</t>
  </si>
  <si>
    <t>GAITAN BENAVIDES AURA MARIA</t>
  </si>
  <si>
    <t>BEJARANO LOMBANA LUIS CARLOS</t>
  </si>
  <si>
    <t>LOPEZ GARZON MIGUEL ANGEL</t>
  </si>
  <si>
    <t>VASQUEZ ALARCON JOSE ALBERTO</t>
  </si>
  <si>
    <t>VARGAS MORALES JOSE JUAN ANGEL</t>
  </si>
  <si>
    <t>LOZANO LEAL JOSE HAROL</t>
  </si>
  <si>
    <t>SALCEDO MAFLA WILSON MANUEL</t>
  </si>
  <si>
    <t>GOMEZ TORRES GUILLERMO HERNAN</t>
  </si>
  <si>
    <t>DEICY SOFIA FORERO</t>
  </si>
  <si>
    <t>PINTO MARTINEZ HECTOR ARLEY</t>
  </si>
  <si>
    <t>AREIZA OSORIO GILBERTO</t>
  </si>
  <si>
    <t>PINILLA GAVILAN MARIA TOMASA</t>
  </si>
  <si>
    <t>ESPINOSA BUITRAGO GERMAN GUILLERMO</t>
  </si>
  <si>
    <t>ROBAYO BALLEN BLANCA ROSALBINA</t>
  </si>
  <si>
    <t>MONTANO PAEZ SANDRA ILIANA</t>
  </si>
  <si>
    <t>GARCIA BUITRAGO JOSELIN</t>
  </si>
  <si>
    <t>MORA DIAZ CARLOS ARTURO</t>
  </si>
  <si>
    <t>GOMEZ SARMIENTO YUDY MILENA</t>
  </si>
  <si>
    <t>CASTRO DIAZ YANETH ALEXANDRA</t>
  </si>
  <si>
    <t>JIMENEZ RODRIGUEZ JOSE ULPIANO</t>
  </si>
  <si>
    <t>AGUIRRE GIRALDO ALBA NIDYA</t>
  </si>
  <si>
    <t>LOPEZ HERNANDEZ ANA GRACIELA</t>
  </si>
  <si>
    <t>GONZALEZ PEREZ DORIS AYDE</t>
  </si>
  <si>
    <t>MAYORGA VALBUENA SINDY KATERIN</t>
  </si>
  <si>
    <t>TORRES RIANO MIGUEL</t>
  </si>
  <si>
    <t>MALAVER URIBE MELBA INES</t>
  </si>
  <si>
    <t>BARRAGAN ALMANZA MARTHA ENILSA</t>
  </si>
  <si>
    <t>QUIMBAYO OSPINA LUZ MARINA</t>
  </si>
  <si>
    <t>SANCHEZ CASTRO HORACIO</t>
  </si>
  <si>
    <t>PALENCIA MARTINEZ JAVIER SEGUNDO</t>
  </si>
  <si>
    <t>HERRERA HERRERA DIANA MARIA</t>
  </si>
  <si>
    <t>AREVALO  GUZMAN MARIA DEL CARMEN</t>
  </si>
  <si>
    <t>PRIAS CENDALES ALFONSO</t>
  </si>
  <si>
    <t>MARINO MONTOYA GERMAN DE JESUS</t>
  </si>
  <si>
    <t>RESTREPO MORALES KATHERIN ALEXANDRA</t>
  </si>
  <si>
    <t>FLOREZ POVEDA JAIME ENRIQUE</t>
  </si>
  <si>
    <t>PENA GARZON ANDRES CAMILO</t>
  </si>
  <si>
    <t>BUITRAGO SIERRA VICTOR ALFONSO</t>
  </si>
  <si>
    <t>PRADA RODRIGUEZ LUZ MARINA</t>
  </si>
  <si>
    <t>SIERRA GOMEZ OLIMPO RAFAEL</t>
  </si>
  <si>
    <t>RIOS VELANDIA JEFFERSON ALEXANDER</t>
  </si>
  <si>
    <t>SUAREZ SUAREZ MARIA ANGELICA</t>
  </si>
  <si>
    <t>RIVERA RESTREPO NORALBA</t>
  </si>
  <si>
    <t>RODRIGUEZ ACERO JEIMY ANDREA</t>
  </si>
  <si>
    <t>ARBELAEZ RUBIO REINALDO</t>
  </si>
  <si>
    <t>RAMIREZ  INGRI PAOLA</t>
  </si>
  <si>
    <t>ARCHILA SOLANO EFRAIN</t>
  </si>
  <si>
    <t>VILLALBA CONTRERAS CIRLEY</t>
  </si>
  <si>
    <t>BARRERA MARTINEZ BLANCA CECILIA</t>
  </si>
  <si>
    <t>PEREZ BAEZ ORLANDO</t>
  </si>
  <si>
    <t>TORRES TORRES DIANA LORENA</t>
  </si>
  <si>
    <t>CABIEDES PLATA MARIA AMELIA</t>
  </si>
  <si>
    <t>PARADA RINCON NELSON DAVID</t>
  </si>
  <si>
    <t>RODRIGUEZ MONTANO JOSE LIBARDO</t>
  </si>
  <si>
    <t>HINCAPIE VILLA JOSE EFRAIN</t>
  </si>
  <si>
    <t>RESTREPO VARON ANGELA YISELA</t>
  </si>
  <si>
    <t>ROZO FERNANDEZ DIEGO ALEXANDER</t>
  </si>
  <si>
    <t>GONZALEZ CORDOBA BERONICA ANDREA</t>
  </si>
  <si>
    <t>CELIS GARCIA NUBIA ELSA</t>
  </si>
  <si>
    <t>PENA CARABALLO JUAN DAVID</t>
  </si>
  <si>
    <t>PEREZ RODRIGUEZ HECTOR</t>
  </si>
  <si>
    <t>URREGO CRUZ EDYSON</t>
  </si>
  <si>
    <t>RODRIGUEZ PINZON MARIA FERNANDA</t>
  </si>
  <si>
    <t>CALDERON CORREA DANIEL RICARDO</t>
  </si>
  <si>
    <t>GARZON FORERO VICTOR</t>
  </si>
  <si>
    <t>MACHETE RODRIGUEZ FERNANDO MAURICIO</t>
  </si>
  <si>
    <t>BERRIO LOPEZ DE RUBIANO MARIA DEL ROSARIO</t>
  </si>
  <si>
    <t>BENAVIDES RODRIGUEZ ANGEL GABRIEL</t>
  </si>
  <si>
    <t>BEDOYA LIEVANO SONIA STEPHANE</t>
  </si>
  <si>
    <t>MONTENEGRO SALGADO SANDRA EDITH</t>
  </si>
  <si>
    <t>ORTIZ TOVAR JOSE IGNACIO</t>
  </si>
  <si>
    <t>ALFONSO WILCHES MARTHA LILIANA</t>
  </si>
  <si>
    <t>JOTA VARGAS GLORIA ESPERANZA</t>
  </si>
  <si>
    <t>ORTEGA CORTES ANDRES SANTIAGO</t>
  </si>
  <si>
    <t>GENARO ALONSO RODRIGUEZ RODRIGUEZ</t>
  </si>
  <si>
    <t>CC</t>
  </si>
  <si>
    <t>NOMBRE</t>
  </si>
  <si>
    <t>NORALBA OLIVEROS - OBLIGACIONES 134</t>
  </si>
  <si>
    <t>ACTIVO CON DEMANDA PRESENTADA</t>
  </si>
  <si>
    <t>CASTIGADO CON DEMANDA PRESENTADA</t>
  </si>
  <si>
    <t>ACTIVO CON RETENCIÓN SALARIAL</t>
  </si>
  <si>
    <t>ACTIVO PENDIENTE DEMANDA</t>
  </si>
  <si>
    <t># OBLIGACIONES</t>
  </si>
  <si>
    <t>CAPITAL</t>
  </si>
  <si>
    <t xml:space="preserve">TOTAL CARTERA ACTIVO </t>
  </si>
  <si>
    <t xml:space="preserve">TOTAL CARTERA CASTIGADO </t>
  </si>
  <si>
    <t xml:space="preserve">PAGARÉ </t>
  </si>
  <si>
    <t>OBLIGACIÓN</t>
  </si>
  <si>
    <t>CASTIGO CON RETENCIÓN SALARIAL</t>
  </si>
  <si>
    <t>CASTIGO PENDIENTE DEMANDA</t>
  </si>
  <si>
    <t>CUADRO DE NORALBA</t>
  </si>
  <si>
    <t>NORALBA OLIVEROS - OBLIGACIONES 128 CREARCOOP</t>
  </si>
  <si>
    <t>TOTAL CAPITAL + BDR</t>
  </si>
  <si>
    <t>CAPITAL AL 60</t>
  </si>
  <si>
    <t>TOTAL CAPITAL</t>
  </si>
  <si>
    <t>CAPITAL AL 60 (VENTA)</t>
  </si>
  <si>
    <t>CORREO CODEUDOR</t>
  </si>
  <si>
    <t>NOMBRE DEUDOR</t>
  </si>
  <si>
    <t>PAGARÉ</t>
  </si>
  <si>
    <t>NUMERO DEUDOR</t>
  </si>
  <si>
    <t>CORREO DEUDOR</t>
  </si>
  <si>
    <t>NOMBRE CODEUDOR</t>
  </si>
  <si>
    <t>NUMERO CODEUDOR</t>
  </si>
  <si>
    <t>Juan Pérez</t>
  </si>
  <si>
    <t>juan@email.com</t>
  </si>
  <si>
    <t>María López</t>
  </si>
  <si>
    <t>maria@email.com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</si>
</sst>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4">
    <xf numFmtId="0" fontId="0" fillId="0" borderId="0" xfId="0"/>
    <xf numFmtId="3" fontId="0" fillId="0" borderId="0" xfId="0" applyNumberFormat="1"/>
    <xf numFmtId="0" fontId="0" fillId="0" borderId="1" xfId="0" applyBorder="1"/>
    <xf numFmtId="0" fontId="3" fillId="0" borderId="1" xfId="0" applyFont="1" applyBorder="1" applyAlignment="1"/>
    <xf numFmtId="0" fontId="3" fillId="0" borderId="1" xfId="0" applyFont="1" applyBorder="1" applyAlignment="1">
      <alignment horizontal="center"/>
    </xf>
    <xf numFmtId="3" fontId="0" fillId="0" borderId="1" xfId="0" applyNumberFormat="1" applyBorder="1"/>
    <xf numFmtId="3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Border="1"/>
    <xf numFmtId="3" fontId="0" fillId="0" borderId="0" xfId="0" applyNumberFormat="1" applyBorder="1"/>
    <xf numFmtId="0" fontId="0" fillId="0" borderId="0" xfId="0" applyBorder="1" applyAlignment="1">
      <alignment horizontal="center"/>
    </xf>
    <xf numFmtId="0" fontId="2" fillId="0" borderId="1" xfId="0" applyFont="1" applyBorder="1"/>
    <xf numFmtId="3" fontId="2" fillId="0" borderId="1" xfId="0" applyNumberFormat="1" applyFont="1" applyBorder="1"/>
    <xf numFmtId="3" fontId="2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4" fillId="0" borderId="1" xfId="0" applyFont="1" applyBorder="1" applyAlignment="1"/>
    <xf numFmtId="0" fontId="0" fillId="0" borderId="1" xfId="0" applyFill="1" applyBorder="1"/>
    <xf numFmtId="0" fontId="0" fillId="0" borderId="1" xfId="0" applyFill="1" applyBorder="1" applyAlignment="1">
      <alignment horizontal="left"/>
    </xf>
    <xf numFmtId="0" fontId="0" fillId="0" borderId="0" xfId="0" applyFill="1" applyAlignment="1">
      <alignment horizontal="left"/>
    </xf>
    <xf numFmtId="164" fontId="0" fillId="0" borderId="1" xfId="1" applyNumberFormat="1" applyFont="1" applyBorder="1"/>
    <xf numFmtId="0" fontId="3" fillId="2" borderId="1" xfId="0" applyFont="1" applyFill="1" applyBorder="1"/>
    <xf numFmtId="0" fontId="4" fillId="2" borderId="1" xfId="0" applyFont="1" applyFill="1" applyBorder="1"/>
    <xf numFmtId="0" fontId="3" fillId="2" borderId="1" xfId="0" applyFont="1" applyFill="1" applyBorder="1" applyAlignment="1">
      <alignment horizontal="center"/>
    </xf>
    <xf numFmtId="0" fontId="0" fillId="2" borderId="1" xfId="0" applyFill="1" applyBorder="1"/>
    <xf numFmtId="3" fontId="0" fillId="2" borderId="1" xfId="0" applyNumberFormat="1" applyFill="1" applyBorder="1"/>
    <xf numFmtId="3" fontId="0" fillId="2" borderId="1" xfId="0" applyNumberForma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0" xfId="0" applyFill="1"/>
    <xf numFmtId="3" fontId="0" fillId="2" borderId="0" xfId="0" applyNumberFormat="1" applyFill="1"/>
    <xf numFmtId="0" fontId="0" fillId="2" borderId="0" xfId="0" applyFill="1" applyAlignment="1">
      <alignment horizontal="center"/>
    </xf>
    <xf numFmtId="0" fontId="2" fillId="2" borderId="1" xfId="0" applyFont="1" applyFill="1" applyBorder="1"/>
    <xf numFmtId="3" fontId="2" fillId="2" borderId="1" xfId="0" applyNumberFormat="1" applyFont="1" applyFill="1" applyBorder="1"/>
    <xf numFmtId="3" fontId="2" fillId="2" borderId="1" xfId="0" applyNumberFormat="1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164" fontId="0" fillId="0" borderId="1" xfId="0" applyNumberFormat="1" applyBorder="1"/>
    <xf numFmtId="164" fontId="0" fillId="3" borderId="1" xfId="0" applyNumberFormat="1" applyFill="1" applyBorder="1"/>
    <xf numFmtId="164" fontId="2" fillId="3" borderId="1" xfId="0" applyNumberFormat="1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164" fontId="0" fillId="0" borderId="1" xfId="0" applyNumberFormat="1" applyFill="1" applyBorder="1"/>
    <xf numFmtId="0" fontId="6" fillId="0" borderId="1" xfId="0" applyFont="1" applyFill="1" applyBorder="1" applyAlignment="1">
      <alignment wrapText="1"/>
    </xf>
    <xf numFmtId="0" fontId="7" fillId="0" borderId="1" xfId="0" applyFont="1" applyFill="1" applyBorder="1" applyAlignment="1">
      <alignment horizontal="center" wrapText="1"/>
    </xf>
    <xf numFmtId="0" fontId="6" fillId="0" borderId="1" xfId="0" applyFont="1" applyFill="1" applyBorder="1"/>
    <xf numFmtId="0" fontId="0" fillId="0" borderId="1" xfId="0" applyBorder="1" applyAlignment="1">
      <alignment horizontal="left"/>
    </xf>
    <xf numFmtId="0" fontId="2" fillId="3" borderId="1" xfId="0" applyFont="1" applyFill="1" applyBorder="1" applyAlignment="1">
      <alignment horizontal="center" wrapText="1"/>
    </xf>
    <xf numFmtId="0" fontId="0" fillId="0" borderId="0" xfId="0" applyFill="1"/>
    <xf numFmtId="164" fontId="2" fillId="0" borderId="2" xfId="0" applyNumberFormat="1" applyFont="1" applyBorder="1"/>
    <xf numFmtId="164" fontId="2" fillId="3" borderId="2" xfId="0" applyNumberFormat="1" applyFont="1" applyFill="1" applyBorder="1" applyAlignment="1">
      <alignment horizontal="center"/>
    </xf>
    <xf numFmtId="164" fontId="0" fillId="0" borderId="0" xfId="0" applyNumberFormat="1"/>
    <xf numFmtId="0" fontId="3" fillId="0" borderId="1" xfId="0" applyFont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9" fillId="0" borderId="3" xfId="0" applyFont="1" applyBorder="1" applyAlignment="1">
      <alignment horizontal="left" vertical="center" wrapText="1" indent="1"/>
    </xf>
    <xf numFmtId="0" fontId="8" fillId="0" borderId="3" xfId="0" applyFont="1" applyBorder="1" applyAlignment="1">
      <alignment horizontal="left" vertical="center" wrapText="1" indent="1"/>
    </xf>
    <xf numFmtId="0" fontId="9" fillId="0" borderId="1" xfId="0" applyFont="1" applyBorder="1" applyAlignment="1">
      <alignment horizontal="left" vertical="center" wrapText="1" indent="1"/>
    </xf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9"/>
  <sheetViews>
    <sheetView workbookViewId="0">
      <selection activeCell="H23" sqref="H23"/>
    </sheetView>
  </sheetViews>
  <sheetFormatPr baseColWidth="10" defaultRowHeight="15" x14ac:dyDescent="0.25"/>
  <cols>
    <col min="2" max="2" width="36.5703125" customWidth="1"/>
    <col min="3" max="3" width="10.85546875" customWidth="1"/>
    <col min="4" max="4" width="13.85546875" customWidth="1"/>
    <col min="5" max="5" width="13.140625" customWidth="1"/>
    <col min="6" max="6" width="35.140625" customWidth="1"/>
    <col min="7" max="7" width="23.5703125" customWidth="1"/>
    <col min="8" max="8" width="27" customWidth="1"/>
    <col min="9" max="9" width="35" customWidth="1"/>
    <col min="10" max="10" width="38.85546875" customWidth="1"/>
  </cols>
  <sheetData>
    <row r="1" spans="1:10" ht="30" x14ac:dyDescent="0.25">
      <c r="A1" s="16" t="s">
        <v>122</v>
      </c>
      <c r="B1" s="16" t="s">
        <v>123</v>
      </c>
      <c r="C1" s="41" t="s">
        <v>134</v>
      </c>
      <c r="D1" s="39" t="s">
        <v>141</v>
      </c>
      <c r="E1" s="43" t="s">
        <v>142</v>
      </c>
      <c r="F1" s="53" t="s">
        <v>146</v>
      </c>
      <c r="G1" s="53" t="s">
        <v>147</v>
      </c>
      <c r="H1" s="53" t="s">
        <v>148</v>
      </c>
      <c r="I1" s="53" t="s">
        <v>149</v>
      </c>
      <c r="J1" s="53" t="s">
        <v>143</v>
      </c>
    </row>
    <row r="2" spans="1:10" x14ac:dyDescent="0.25">
      <c r="A2" s="42">
        <v>1018417541</v>
      </c>
      <c r="B2" s="2" t="s">
        <v>88</v>
      </c>
      <c r="C2" s="2">
        <v>2312000043</v>
      </c>
      <c r="D2" s="34">
        <v>30662784</v>
      </c>
      <c r="E2" s="36">
        <f>D2*60%</f>
        <v>18397670.399999999</v>
      </c>
      <c r="F2" s="2"/>
      <c r="G2" s="2"/>
      <c r="H2" s="2"/>
      <c r="I2" s="2"/>
      <c r="J2" s="2"/>
    </row>
    <row r="3" spans="1:10" x14ac:dyDescent="0.25">
      <c r="A3" s="42">
        <v>1026276374</v>
      </c>
      <c r="B3" s="2" t="s">
        <v>87</v>
      </c>
      <c r="C3" s="2">
        <v>2312000044</v>
      </c>
      <c r="D3" s="34">
        <v>30639704</v>
      </c>
      <c r="E3" s="36">
        <f t="shared" ref="E3:E44" si="0">D3*60%</f>
        <v>18383822.399999999</v>
      </c>
      <c r="F3" s="2"/>
      <c r="G3" s="2"/>
      <c r="H3" s="2"/>
      <c r="I3" s="2"/>
      <c r="J3" s="2"/>
    </row>
    <row r="4" spans="1:10" x14ac:dyDescent="0.25">
      <c r="A4" s="42">
        <v>39755672</v>
      </c>
      <c r="B4" s="2" t="s">
        <v>89</v>
      </c>
      <c r="C4" s="2">
        <v>2315000087</v>
      </c>
      <c r="D4" s="34">
        <v>30066744</v>
      </c>
      <c r="E4" s="36">
        <f t="shared" si="0"/>
        <v>18040046.399999999</v>
      </c>
      <c r="F4" s="2"/>
      <c r="G4" s="2"/>
      <c r="H4" s="2"/>
      <c r="I4" s="2"/>
      <c r="J4" s="2"/>
    </row>
    <row r="5" spans="1:10" x14ac:dyDescent="0.25">
      <c r="A5" s="42">
        <v>3187760</v>
      </c>
      <c r="B5" s="2" t="s">
        <v>121</v>
      </c>
      <c r="C5" s="2">
        <v>1913000633</v>
      </c>
      <c r="D5" s="34">
        <v>22013702</v>
      </c>
      <c r="E5" s="36">
        <f t="shared" si="0"/>
        <v>13208221.199999999</v>
      </c>
      <c r="F5" s="2"/>
      <c r="G5" s="2"/>
      <c r="H5" s="2"/>
      <c r="I5" s="2"/>
      <c r="J5" s="2"/>
    </row>
    <row r="6" spans="1:10" x14ac:dyDescent="0.25">
      <c r="A6" s="42">
        <v>1078347854</v>
      </c>
      <c r="B6" s="2" t="s">
        <v>90</v>
      </c>
      <c r="C6" s="2">
        <v>1913000955</v>
      </c>
      <c r="D6" s="34">
        <v>17227872</v>
      </c>
      <c r="E6" s="36">
        <f t="shared" si="0"/>
        <v>10336723.199999999</v>
      </c>
      <c r="F6" s="2"/>
      <c r="G6" s="2"/>
      <c r="H6" s="2"/>
      <c r="I6" s="2"/>
      <c r="J6" s="2"/>
    </row>
    <row r="7" spans="1:10" x14ac:dyDescent="0.25">
      <c r="A7" s="42">
        <v>1005849571</v>
      </c>
      <c r="B7" s="2" t="s">
        <v>92</v>
      </c>
      <c r="C7" s="2">
        <v>2312000037</v>
      </c>
      <c r="D7" s="34">
        <v>14782288</v>
      </c>
      <c r="E7" s="36">
        <f t="shared" si="0"/>
        <v>8869372.7999999989</v>
      </c>
      <c r="F7" s="2"/>
      <c r="G7" s="2"/>
      <c r="H7" s="2"/>
      <c r="I7" s="2"/>
      <c r="J7" s="2"/>
    </row>
    <row r="8" spans="1:10" x14ac:dyDescent="0.25">
      <c r="A8" s="42">
        <v>52375441</v>
      </c>
      <c r="B8" s="2" t="s">
        <v>94</v>
      </c>
      <c r="C8" s="2">
        <v>1912000914</v>
      </c>
      <c r="D8" s="34">
        <v>11060339</v>
      </c>
      <c r="E8" s="36">
        <f t="shared" si="0"/>
        <v>6636203.3999999994</v>
      </c>
      <c r="F8" s="2"/>
      <c r="G8" s="2"/>
      <c r="H8" s="2"/>
      <c r="I8" s="2"/>
      <c r="J8" s="2"/>
    </row>
    <row r="9" spans="1:10" x14ac:dyDescent="0.25">
      <c r="A9" s="42">
        <v>51797042</v>
      </c>
      <c r="B9" s="2" t="s">
        <v>95</v>
      </c>
      <c r="C9" s="2">
        <v>1912000875</v>
      </c>
      <c r="D9" s="34">
        <v>11881579</v>
      </c>
      <c r="E9" s="36">
        <f t="shared" si="0"/>
        <v>7128947.3999999994</v>
      </c>
      <c r="F9" s="2"/>
      <c r="G9" s="2"/>
      <c r="H9" s="2"/>
      <c r="I9" s="2"/>
      <c r="J9" s="2"/>
    </row>
    <row r="10" spans="1:10" x14ac:dyDescent="0.25">
      <c r="A10" s="42">
        <v>7320125</v>
      </c>
      <c r="B10" s="2" t="s">
        <v>31</v>
      </c>
      <c r="C10" s="2">
        <v>1912000125</v>
      </c>
      <c r="D10" s="34">
        <v>10781501</v>
      </c>
      <c r="E10" s="36">
        <f t="shared" si="0"/>
        <v>6468900.5999999996</v>
      </c>
      <c r="F10" s="2"/>
      <c r="G10" s="2"/>
      <c r="H10" s="2"/>
      <c r="I10" s="2"/>
      <c r="J10" s="2"/>
    </row>
    <row r="11" spans="1:10" x14ac:dyDescent="0.25">
      <c r="A11" s="42">
        <v>4252020</v>
      </c>
      <c r="B11" s="2" t="s">
        <v>96</v>
      </c>
      <c r="C11" s="2">
        <v>2211000308</v>
      </c>
      <c r="D11" s="34">
        <v>10000000</v>
      </c>
      <c r="E11" s="36">
        <f t="shared" si="0"/>
        <v>6000000</v>
      </c>
      <c r="F11" s="2"/>
      <c r="G11" s="2"/>
      <c r="H11" s="2"/>
      <c r="I11" s="2"/>
      <c r="J11" s="2"/>
    </row>
    <row r="12" spans="1:10" x14ac:dyDescent="0.25">
      <c r="A12" s="42">
        <v>52778684</v>
      </c>
      <c r="B12" s="2" t="s">
        <v>97</v>
      </c>
      <c r="C12" s="2">
        <v>2315000116</v>
      </c>
      <c r="D12" s="34">
        <v>10481268</v>
      </c>
      <c r="E12" s="36">
        <f t="shared" si="0"/>
        <v>6288760.7999999998</v>
      </c>
      <c r="F12" s="2"/>
      <c r="G12" s="2"/>
      <c r="H12" s="2"/>
      <c r="I12" s="2"/>
      <c r="J12" s="2"/>
    </row>
    <row r="13" spans="1:10" x14ac:dyDescent="0.25">
      <c r="A13" s="42">
        <v>1033755601</v>
      </c>
      <c r="B13" s="2" t="s">
        <v>99</v>
      </c>
      <c r="C13" s="2">
        <v>1912000810</v>
      </c>
      <c r="D13" s="34">
        <v>10159838</v>
      </c>
      <c r="E13" s="36">
        <f t="shared" si="0"/>
        <v>6095902.7999999998</v>
      </c>
      <c r="F13" s="2"/>
      <c r="G13" s="2"/>
      <c r="H13" s="2"/>
      <c r="I13" s="2"/>
      <c r="J13" s="2"/>
    </row>
    <row r="14" spans="1:10" x14ac:dyDescent="0.25">
      <c r="A14" s="42">
        <v>41526686</v>
      </c>
      <c r="B14" s="2" t="s">
        <v>98</v>
      </c>
      <c r="C14" s="2">
        <v>1911000986</v>
      </c>
      <c r="D14" s="34">
        <v>8216444</v>
      </c>
      <c r="E14" s="36">
        <f t="shared" si="0"/>
        <v>4929866.3999999994</v>
      </c>
      <c r="F14" s="2"/>
      <c r="G14" s="2"/>
      <c r="H14" s="2"/>
      <c r="I14" s="2"/>
      <c r="J14" s="2"/>
    </row>
    <row r="15" spans="1:10" x14ac:dyDescent="0.25">
      <c r="A15" s="42">
        <v>79160816</v>
      </c>
      <c r="B15" s="2" t="s">
        <v>44</v>
      </c>
      <c r="C15" s="2">
        <v>1914000208</v>
      </c>
      <c r="D15" s="34">
        <v>8752813</v>
      </c>
      <c r="E15" s="36">
        <f t="shared" si="0"/>
        <v>5251687.8</v>
      </c>
      <c r="F15" s="2"/>
      <c r="G15" s="2"/>
      <c r="H15" s="2"/>
      <c r="I15" s="2"/>
      <c r="J15" s="2"/>
    </row>
    <row r="16" spans="1:10" x14ac:dyDescent="0.25">
      <c r="A16" s="42">
        <v>1068953260</v>
      </c>
      <c r="B16" s="2" t="s">
        <v>100</v>
      </c>
      <c r="C16" s="2">
        <v>1914000814</v>
      </c>
      <c r="D16" s="34">
        <v>8655822</v>
      </c>
      <c r="E16" s="36">
        <f t="shared" si="0"/>
        <v>5193493.2</v>
      </c>
      <c r="F16" s="2"/>
      <c r="G16" s="2"/>
      <c r="H16" s="2"/>
      <c r="I16" s="2"/>
      <c r="J16" s="2"/>
    </row>
    <row r="17" spans="1:10" x14ac:dyDescent="0.25">
      <c r="A17" s="42">
        <v>41737266</v>
      </c>
      <c r="B17" s="2" t="s">
        <v>47</v>
      </c>
      <c r="C17" s="2">
        <v>1915000315</v>
      </c>
      <c r="D17" s="34">
        <v>8483212</v>
      </c>
      <c r="E17" s="36">
        <f t="shared" si="0"/>
        <v>5089927.2</v>
      </c>
      <c r="F17" s="2"/>
      <c r="G17" s="2"/>
      <c r="H17" s="2"/>
      <c r="I17" s="2"/>
      <c r="J17" s="2"/>
    </row>
    <row r="18" spans="1:10" x14ac:dyDescent="0.25">
      <c r="A18" s="42">
        <v>1109491353</v>
      </c>
      <c r="B18" s="2" t="s">
        <v>42</v>
      </c>
      <c r="C18" s="2">
        <v>1912000252</v>
      </c>
      <c r="D18" s="34">
        <v>8020550</v>
      </c>
      <c r="E18" s="36">
        <f t="shared" si="0"/>
        <v>4812330</v>
      </c>
      <c r="F18" s="2"/>
      <c r="G18" s="2"/>
      <c r="H18" s="2"/>
      <c r="I18" s="2"/>
      <c r="J18" s="2"/>
    </row>
    <row r="19" spans="1:10" x14ac:dyDescent="0.25">
      <c r="A19" s="42">
        <v>1061655910</v>
      </c>
      <c r="B19" s="2" t="s">
        <v>101</v>
      </c>
      <c r="C19" s="2">
        <v>1912000835</v>
      </c>
      <c r="D19" s="34">
        <v>8478531</v>
      </c>
      <c r="E19" s="36">
        <f t="shared" si="0"/>
        <v>5087118.5999999996</v>
      </c>
      <c r="F19" s="2"/>
      <c r="G19" s="2"/>
      <c r="H19" s="2"/>
      <c r="I19" s="2"/>
      <c r="J19" s="2"/>
    </row>
    <row r="20" spans="1:10" x14ac:dyDescent="0.25">
      <c r="A20" s="42">
        <v>1071163544</v>
      </c>
      <c r="B20" s="2" t="s">
        <v>103</v>
      </c>
      <c r="C20" s="2">
        <v>2211000173</v>
      </c>
      <c r="D20" s="34">
        <v>5798688</v>
      </c>
      <c r="E20" s="36">
        <f t="shared" si="0"/>
        <v>3479212.8</v>
      </c>
      <c r="F20" s="2"/>
      <c r="G20" s="2"/>
      <c r="H20" s="2"/>
      <c r="I20" s="2"/>
      <c r="J20" s="2"/>
    </row>
    <row r="21" spans="1:10" x14ac:dyDescent="0.25">
      <c r="A21" s="42">
        <v>39744881</v>
      </c>
      <c r="B21" s="2" t="s">
        <v>45</v>
      </c>
      <c r="C21" s="2">
        <v>1914000105</v>
      </c>
      <c r="D21" s="34">
        <v>7526539</v>
      </c>
      <c r="E21" s="36">
        <f t="shared" si="0"/>
        <v>4515923.3999999994</v>
      </c>
      <c r="F21" s="2"/>
      <c r="G21" s="2"/>
      <c r="H21" s="2"/>
      <c r="I21" s="2"/>
      <c r="J21" s="2"/>
    </row>
    <row r="22" spans="1:10" x14ac:dyDescent="0.25">
      <c r="A22" s="42">
        <v>1121937363</v>
      </c>
      <c r="B22" s="2" t="s">
        <v>104</v>
      </c>
      <c r="C22" s="2">
        <v>2016000402</v>
      </c>
      <c r="D22" s="34">
        <v>7527339</v>
      </c>
      <c r="E22" s="36">
        <f t="shared" si="0"/>
        <v>4516403.3999999994</v>
      </c>
      <c r="F22" s="2"/>
      <c r="G22" s="2"/>
      <c r="H22" s="2"/>
      <c r="I22" s="2"/>
      <c r="J22" s="2"/>
    </row>
    <row r="23" spans="1:10" x14ac:dyDescent="0.25">
      <c r="A23" s="42">
        <v>23496918</v>
      </c>
      <c r="B23" s="2" t="s">
        <v>105</v>
      </c>
      <c r="C23" s="2">
        <v>2315000031</v>
      </c>
      <c r="D23" s="34">
        <v>6798440</v>
      </c>
      <c r="E23" s="36">
        <f t="shared" si="0"/>
        <v>4079064</v>
      </c>
      <c r="F23" s="2"/>
      <c r="G23" s="2"/>
      <c r="H23" s="2"/>
      <c r="I23" s="2"/>
      <c r="J23" s="2"/>
    </row>
    <row r="24" spans="1:10" x14ac:dyDescent="0.25">
      <c r="A24" s="42">
        <v>1020405945</v>
      </c>
      <c r="B24" s="2" t="s">
        <v>17</v>
      </c>
      <c r="C24" s="2">
        <v>1914000078</v>
      </c>
      <c r="D24" s="34">
        <v>6633104</v>
      </c>
      <c r="E24" s="36">
        <f t="shared" si="0"/>
        <v>3979862.4</v>
      </c>
      <c r="F24" s="2"/>
      <c r="G24" s="2"/>
      <c r="H24" s="2"/>
      <c r="I24" s="2"/>
      <c r="J24" s="2"/>
    </row>
    <row r="25" spans="1:10" x14ac:dyDescent="0.25">
      <c r="A25" s="42">
        <v>79120061</v>
      </c>
      <c r="B25" s="2" t="s">
        <v>48</v>
      </c>
      <c r="C25" s="2">
        <v>1915000635</v>
      </c>
      <c r="D25" s="34">
        <v>7005077</v>
      </c>
      <c r="E25" s="36">
        <f t="shared" si="0"/>
        <v>4203046.2</v>
      </c>
      <c r="F25" s="2"/>
      <c r="G25" s="2"/>
      <c r="H25" s="2"/>
      <c r="I25" s="2"/>
      <c r="J25" s="2"/>
    </row>
    <row r="26" spans="1:10" x14ac:dyDescent="0.25">
      <c r="A26" s="42">
        <v>52171925</v>
      </c>
      <c r="B26" s="2" t="s">
        <v>85</v>
      </c>
      <c r="C26" s="2">
        <v>1915000925</v>
      </c>
      <c r="D26" s="34">
        <v>5960888</v>
      </c>
      <c r="E26" s="36">
        <f t="shared" si="0"/>
        <v>3576532.8</v>
      </c>
      <c r="F26" s="2"/>
      <c r="G26" s="2"/>
      <c r="H26" s="2"/>
      <c r="I26" s="2"/>
      <c r="J26" s="2"/>
    </row>
    <row r="27" spans="1:10" x14ac:dyDescent="0.25">
      <c r="A27" s="42">
        <v>1075673419</v>
      </c>
      <c r="B27" s="2" t="s">
        <v>83</v>
      </c>
      <c r="C27" s="2">
        <v>1914000591</v>
      </c>
      <c r="D27" s="34">
        <v>5879750</v>
      </c>
      <c r="E27" s="36">
        <f t="shared" si="0"/>
        <v>3527850</v>
      </c>
      <c r="F27" s="2"/>
      <c r="G27" s="2"/>
      <c r="H27" s="2"/>
      <c r="I27" s="2"/>
      <c r="J27" s="2"/>
    </row>
    <row r="28" spans="1:10" x14ac:dyDescent="0.25">
      <c r="A28" s="42">
        <v>1032506521</v>
      </c>
      <c r="B28" s="2" t="s">
        <v>106</v>
      </c>
      <c r="C28" s="2">
        <v>1915000810</v>
      </c>
      <c r="D28" s="34">
        <v>1882016</v>
      </c>
      <c r="E28" s="36">
        <f t="shared" si="0"/>
        <v>1129209.5999999999</v>
      </c>
      <c r="F28" s="2"/>
      <c r="G28" s="2"/>
      <c r="H28" s="2"/>
      <c r="I28" s="2"/>
      <c r="J28" s="2"/>
    </row>
    <row r="29" spans="1:10" x14ac:dyDescent="0.25">
      <c r="A29" s="42">
        <v>80157227</v>
      </c>
      <c r="B29" s="2" t="s">
        <v>108</v>
      </c>
      <c r="C29" s="2">
        <v>1915000914</v>
      </c>
      <c r="D29" s="34">
        <v>5727835</v>
      </c>
      <c r="E29" s="36">
        <f t="shared" si="0"/>
        <v>3436701</v>
      </c>
      <c r="F29" s="2"/>
      <c r="G29" s="2"/>
      <c r="H29" s="2"/>
      <c r="I29" s="2"/>
      <c r="J29" s="2"/>
    </row>
    <row r="30" spans="1:10" x14ac:dyDescent="0.25">
      <c r="A30" s="42">
        <v>1019091195</v>
      </c>
      <c r="B30" s="2" t="s">
        <v>109</v>
      </c>
      <c r="C30" s="2">
        <v>1915000921</v>
      </c>
      <c r="D30" s="34">
        <v>5023587</v>
      </c>
      <c r="E30" s="36">
        <f t="shared" si="0"/>
        <v>3014152.1999999997</v>
      </c>
      <c r="F30" s="2"/>
      <c r="G30" s="2"/>
      <c r="H30" s="2"/>
      <c r="I30" s="2"/>
      <c r="J30" s="2"/>
    </row>
    <row r="31" spans="1:10" x14ac:dyDescent="0.25">
      <c r="A31" s="42">
        <v>1000601898</v>
      </c>
      <c r="B31" s="2" t="s">
        <v>110</v>
      </c>
      <c r="C31" s="2">
        <v>2315000024</v>
      </c>
      <c r="D31" s="34">
        <v>4717256</v>
      </c>
      <c r="E31" s="36">
        <f t="shared" si="0"/>
        <v>2830353.6</v>
      </c>
      <c r="F31" s="2"/>
      <c r="G31" s="2"/>
      <c r="H31" s="2"/>
      <c r="I31" s="2"/>
      <c r="J31" s="2"/>
    </row>
    <row r="32" spans="1:10" x14ac:dyDescent="0.25">
      <c r="A32" s="42">
        <v>1071329791</v>
      </c>
      <c r="B32" s="2" t="s">
        <v>111</v>
      </c>
      <c r="C32" s="2">
        <v>1913000784</v>
      </c>
      <c r="D32" s="34">
        <v>2829624</v>
      </c>
      <c r="E32" s="36">
        <f t="shared" si="0"/>
        <v>1697774.4</v>
      </c>
      <c r="F32" s="2"/>
      <c r="G32" s="2"/>
      <c r="H32" s="2"/>
      <c r="I32" s="2"/>
      <c r="J32" s="2"/>
    </row>
    <row r="33" spans="1:10" x14ac:dyDescent="0.25">
      <c r="A33" s="42">
        <v>1024492842</v>
      </c>
      <c r="B33" s="2" t="s">
        <v>112</v>
      </c>
      <c r="C33" s="2">
        <v>1912000942</v>
      </c>
      <c r="D33" s="34">
        <v>4696029</v>
      </c>
      <c r="E33" s="36">
        <f t="shared" si="0"/>
        <v>2817617.4</v>
      </c>
      <c r="F33" s="2"/>
      <c r="G33" s="2"/>
      <c r="H33" s="2"/>
      <c r="I33" s="2"/>
      <c r="J33" s="2"/>
    </row>
    <row r="34" spans="1:10" x14ac:dyDescent="0.25">
      <c r="A34" s="42">
        <v>20471487</v>
      </c>
      <c r="B34" s="2" t="s">
        <v>113</v>
      </c>
      <c r="C34" s="2">
        <v>1913000881</v>
      </c>
      <c r="D34" s="34">
        <v>4202654</v>
      </c>
      <c r="E34" s="36">
        <f t="shared" si="0"/>
        <v>2521592.4</v>
      </c>
      <c r="F34" s="2"/>
      <c r="G34" s="2"/>
      <c r="H34" s="2"/>
      <c r="I34" s="2"/>
      <c r="J34" s="2"/>
    </row>
    <row r="35" spans="1:10" x14ac:dyDescent="0.25">
      <c r="A35" s="42">
        <v>11325586</v>
      </c>
      <c r="B35" s="2" t="s">
        <v>114</v>
      </c>
      <c r="C35" s="2">
        <v>1913000904</v>
      </c>
      <c r="D35" s="34">
        <v>4144299</v>
      </c>
      <c r="E35" s="36">
        <f t="shared" si="0"/>
        <v>2486579.4</v>
      </c>
      <c r="F35" s="2"/>
      <c r="G35" s="2"/>
      <c r="H35" s="2"/>
      <c r="I35" s="2"/>
      <c r="J35" s="2"/>
    </row>
    <row r="36" spans="1:10" x14ac:dyDescent="0.25">
      <c r="A36" s="42">
        <v>1121877588</v>
      </c>
      <c r="B36" s="2" t="s">
        <v>115</v>
      </c>
      <c r="C36" s="2">
        <v>2016000382</v>
      </c>
      <c r="D36" s="34">
        <v>3918552</v>
      </c>
      <c r="E36" s="36">
        <f t="shared" si="0"/>
        <v>2351131.1999999997</v>
      </c>
      <c r="F36" s="2"/>
      <c r="G36" s="2"/>
      <c r="H36" s="2"/>
      <c r="I36" s="2"/>
      <c r="J36" s="2"/>
    </row>
    <row r="37" spans="1:10" x14ac:dyDescent="0.25">
      <c r="A37" s="42">
        <v>1033789770</v>
      </c>
      <c r="B37" s="2" t="s">
        <v>102</v>
      </c>
      <c r="C37" s="2">
        <v>1912000833</v>
      </c>
      <c r="D37" s="34">
        <v>3882652</v>
      </c>
      <c r="E37" s="36">
        <f t="shared" si="0"/>
        <v>2329591.1999999997</v>
      </c>
      <c r="F37" s="2"/>
      <c r="G37" s="2"/>
      <c r="H37" s="2"/>
      <c r="I37" s="2"/>
      <c r="J37" s="2"/>
    </row>
    <row r="38" spans="1:10" x14ac:dyDescent="0.25">
      <c r="A38" s="42">
        <v>79159925</v>
      </c>
      <c r="B38" s="2" t="s">
        <v>71</v>
      </c>
      <c r="C38" s="2">
        <v>1814000148</v>
      </c>
      <c r="D38" s="34">
        <v>3764947</v>
      </c>
      <c r="E38" s="36">
        <f t="shared" si="0"/>
        <v>2258968.1999999997</v>
      </c>
      <c r="F38" s="2"/>
      <c r="G38" s="2"/>
      <c r="H38" s="2"/>
      <c r="I38" s="2"/>
      <c r="J38" s="2"/>
    </row>
    <row r="39" spans="1:10" x14ac:dyDescent="0.25">
      <c r="A39" s="42">
        <v>1127592649</v>
      </c>
      <c r="B39" s="2" t="s">
        <v>86</v>
      </c>
      <c r="C39" s="2">
        <v>1915000874</v>
      </c>
      <c r="D39" s="34">
        <v>3923157</v>
      </c>
      <c r="E39" s="36">
        <f t="shared" si="0"/>
        <v>2353894.1999999997</v>
      </c>
      <c r="F39" s="2"/>
      <c r="G39" s="2"/>
      <c r="H39" s="2"/>
      <c r="I39" s="2"/>
      <c r="J39" s="2"/>
    </row>
    <row r="40" spans="1:10" x14ac:dyDescent="0.25">
      <c r="A40" s="42">
        <v>23702420</v>
      </c>
      <c r="B40" s="2" t="s">
        <v>116</v>
      </c>
      <c r="C40" s="2">
        <v>1913000857</v>
      </c>
      <c r="D40" s="34">
        <v>3293903</v>
      </c>
      <c r="E40" s="36">
        <f t="shared" si="0"/>
        <v>1976341.7999999998</v>
      </c>
      <c r="F40" s="2"/>
      <c r="G40" s="2"/>
      <c r="H40" s="2"/>
      <c r="I40" s="2"/>
      <c r="J40" s="2"/>
    </row>
    <row r="41" spans="1:10" x14ac:dyDescent="0.25">
      <c r="A41" s="42">
        <v>1127382354</v>
      </c>
      <c r="B41" s="2" t="s">
        <v>117</v>
      </c>
      <c r="C41" s="2">
        <v>2016000364</v>
      </c>
      <c r="D41" s="34">
        <v>1068924</v>
      </c>
      <c r="E41" s="36">
        <f t="shared" si="0"/>
        <v>641354.4</v>
      </c>
      <c r="F41" s="2"/>
      <c r="G41" s="2"/>
      <c r="H41" s="2"/>
      <c r="I41" s="2"/>
      <c r="J41" s="2"/>
    </row>
    <row r="42" spans="1:10" x14ac:dyDescent="0.25">
      <c r="A42" s="42">
        <v>1076648410</v>
      </c>
      <c r="B42" s="2" t="s">
        <v>84</v>
      </c>
      <c r="C42" s="2">
        <v>1914000120</v>
      </c>
      <c r="D42" s="34">
        <v>3780958</v>
      </c>
      <c r="E42" s="36">
        <f t="shared" si="0"/>
        <v>2268574.7999999998</v>
      </c>
      <c r="F42" s="2"/>
      <c r="G42" s="2"/>
      <c r="H42" s="2"/>
      <c r="I42" s="2"/>
      <c r="J42" s="2"/>
    </row>
    <row r="43" spans="1:10" x14ac:dyDescent="0.25">
      <c r="A43" s="42">
        <v>1015394579</v>
      </c>
      <c r="B43" s="2" t="s">
        <v>118</v>
      </c>
      <c r="C43" s="2">
        <v>2211000086</v>
      </c>
      <c r="D43" s="34">
        <v>2772505</v>
      </c>
      <c r="E43" s="36">
        <f t="shared" si="0"/>
        <v>1663503</v>
      </c>
      <c r="F43" s="2"/>
      <c r="G43" s="2"/>
      <c r="H43" s="2"/>
      <c r="I43" s="2"/>
      <c r="J43" s="2"/>
    </row>
    <row r="44" spans="1:10" x14ac:dyDescent="0.25">
      <c r="A44" s="42">
        <v>41763927</v>
      </c>
      <c r="B44" s="2" t="s">
        <v>68</v>
      </c>
      <c r="C44" s="2">
        <v>1815000081</v>
      </c>
      <c r="D44" s="34">
        <v>1349943</v>
      </c>
      <c r="E44" s="36">
        <f t="shared" si="0"/>
        <v>809965.79999999993</v>
      </c>
      <c r="F44" s="2"/>
      <c r="G44" s="2"/>
      <c r="H44" s="34"/>
      <c r="I44" s="2"/>
      <c r="J44" s="2"/>
    </row>
    <row r="45" spans="1:10" x14ac:dyDescent="0.25">
      <c r="A45" s="42">
        <v>41763927</v>
      </c>
      <c r="B45" s="2" t="s">
        <v>68</v>
      </c>
      <c r="C45" s="2">
        <v>1715000140</v>
      </c>
      <c r="D45" s="34">
        <v>1378761</v>
      </c>
      <c r="E45" s="36">
        <f>D45*60%</f>
        <v>827256.6</v>
      </c>
      <c r="F45" s="2"/>
      <c r="G45" s="2"/>
      <c r="H45" s="2"/>
      <c r="I45" s="2"/>
      <c r="J45" s="2"/>
    </row>
    <row r="46" spans="1:10" x14ac:dyDescent="0.25">
      <c r="A46" s="42">
        <v>52278408</v>
      </c>
      <c r="B46" s="2" t="s">
        <v>21</v>
      </c>
      <c r="C46" s="2">
        <v>1612000225</v>
      </c>
      <c r="D46" s="19">
        <v>4595871</v>
      </c>
      <c r="E46" s="36">
        <f>D46*60%</f>
        <v>2757522.6</v>
      </c>
      <c r="F46" s="2"/>
      <c r="G46" s="2"/>
      <c r="H46" s="2"/>
      <c r="I46" s="2"/>
      <c r="J46" s="2"/>
    </row>
    <row r="47" spans="1:10" x14ac:dyDescent="0.25">
      <c r="D47" s="45">
        <f>SUM(D2:D45)</f>
        <v>375852418</v>
      </c>
      <c r="E47" s="46">
        <f>SUM(E2:E46)</f>
        <v>228268973.39999998</v>
      </c>
    </row>
    <row r="49" spans="4:4" x14ac:dyDescent="0.25">
      <c r="D49" s="47"/>
    </row>
  </sheetData>
  <pageMargins left="0.25" right="0.25" top="0.75" bottom="0.75" header="0.3" footer="0.3"/>
  <pageSetup scale="85" orientation="portrait" r:id="rId1"/>
  <ignoredErrors>
    <ignoredError sqref="D47" formulaRange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82"/>
  <sheetViews>
    <sheetView tabSelected="1" workbookViewId="0">
      <pane ySplit="1" topLeftCell="A50" activePane="bottomLeft" state="frozen"/>
      <selection pane="bottomLeft" activeCell="H73" sqref="H73"/>
    </sheetView>
  </sheetViews>
  <sheetFormatPr baseColWidth="10" defaultRowHeight="15" x14ac:dyDescent="0.25"/>
  <cols>
    <col min="1" max="1" width="11.42578125" style="18"/>
    <col min="2" max="2" width="35.85546875" style="18" customWidth="1"/>
    <col min="3" max="3" width="11.42578125" style="18"/>
    <col min="4" max="4" width="15.85546875" customWidth="1"/>
    <col min="5" max="5" width="14.42578125" customWidth="1"/>
    <col min="6" max="7" width="26.28515625" customWidth="1"/>
    <col min="8" max="8" width="30.5703125" customWidth="1"/>
    <col min="9" max="9" width="29.140625" customWidth="1"/>
    <col min="10" max="10" width="43.7109375" customWidth="1"/>
  </cols>
  <sheetData>
    <row r="1" spans="1:10" ht="26.25" x14ac:dyDescent="0.25">
      <c r="A1" s="17" t="s">
        <v>122</v>
      </c>
      <c r="B1" s="17" t="s">
        <v>123</v>
      </c>
      <c r="C1" s="17" t="s">
        <v>133</v>
      </c>
      <c r="D1" s="40" t="s">
        <v>139</v>
      </c>
      <c r="E1" s="37" t="s">
        <v>140</v>
      </c>
      <c r="F1" s="53" t="s">
        <v>146</v>
      </c>
      <c r="G1" s="53" t="s">
        <v>147</v>
      </c>
      <c r="H1" s="53" t="s">
        <v>148</v>
      </c>
      <c r="I1" s="53" t="s">
        <v>149</v>
      </c>
      <c r="J1" s="53" t="s">
        <v>143</v>
      </c>
    </row>
    <row r="2" spans="1:10" x14ac:dyDescent="0.25">
      <c r="A2" s="17">
        <v>20458464</v>
      </c>
      <c r="B2" s="17" t="s">
        <v>18</v>
      </c>
      <c r="C2" s="17">
        <v>1914000116</v>
      </c>
      <c r="D2" s="38">
        <v>33363309</v>
      </c>
      <c r="E2" s="35">
        <f t="shared" ref="E2:E33" si="0">D2*60%</f>
        <v>20017985.399999999</v>
      </c>
      <c r="F2" s="2"/>
      <c r="G2" s="2"/>
      <c r="H2" s="2"/>
      <c r="I2" s="2"/>
      <c r="J2" s="2"/>
    </row>
    <row r="3" spans="1:10" x14ac:dyDescent="0.25">
      <c r="A3" s="17">
        <v>1019022290</v>
      </c>
      <c r="B3" s="17" t="s">
        <v>1</v>
      </c>
      <c r="C3" s="17">
        <v>1913000277</v>
      </c>
      <c r="D3" s="38">
        <v>21019994</v>
      </c>
      <c r="E3" s="35">
        <f t="shared" si="0"/>
        <v>12611996.4</v>
      </c>
      <c r="F3" s="2"/>
      <c r="G3" s="2"/>
      <c r="H3" s="2"/>
      <c r="I3" s="2"/>
      <c r="J3" s="2"/>
    </row>
    <row r="4" spans="1:10" x14ac:dyDescent="0.25">
      <c r="A4" s="17">
        <v>39677606</v>
      </c>
      <c r="B4" s="17" t="s">
        <v>2</v>
      </c>
      <c r="C4" s="17">
        <v>1915000350</v>
      </c>
      <c r="D4" s="38">
        <v>21489345</v>
      </c>
      <c r="E4" s="35">
        <f t="shared" si="0"/>
        <v>12893607</v>
      </c>
      <c r="F4" s="2"/>
      <c r="G4" s="2"/>
      <c r="H4" s="2"/>
      <c r="I4" s="2"/>
      <c r="J4" s="2"/>
    </row>
    <row r="5" spans="1:10" x14ac:dyDescent="0.25">
      <c r="A5" s="17">
        <v>8649411</v>
      </c>
      <c r="B5" s="17" t="s">
        <v>0</v>
      </c>
      <c r="C5" s="17">
        <v>1915000872</v>
      </c>
      <c r="D5" s="38">
        <v>18430705</v>
      </c>
      <c r="E5" s="35">
        <f t="shared" si="0"/>
        <v>11058423</v>
      </c>
      <c r="F5" s="2"/>
      <c r="G5" s="2"/>
      <c r="H5" s="2"/>
      <c r="I5" s="2"/>
      <c r="J5" s="2"/>
    </row>
    <row r="6" spans="1:10" x14ac:dyDescent="0.25">
      <c r="A6" s="17">
        <v>1024480428</v>
      </c>
      <c r="B6" s="17" t="s">
        <v>69</v>
      </c>
      <c r="C6" s="17">
        <v>1912000001</v>
      </c>
      <c r="D6" s="38">
        <v>5905323</v>
      </c>
      <c r="E6" s="35">
        <f t="shared" si="0"/>
        <v>3543193.8</v>
      </c>
      <c r="F6" s="2"/>
      <c r="G6" s="2"/>
      <c r="H6" s="2"/>
      <c r="I6" s="2"/>
      <c r="J6" s="2"/>
    </row>
    <row r="7" spans="1:10" x14ac:dyDescent="0.25">
      <c r="A7" s="17">
        <v>20859150</v>
      </c>
      <c r="B7" s="17" t="s">
        <v>3</v>
      </c>
      <c r="C7" s="17">
        <v>1915000338</v>
      </c>
      <c r="D7" s="38">
        <v>14375000</v>
      </c>
      <c r="E7" s="35">
        <f t="shared" si="0"/>
        <v>8625000</v>
      </c>
      <c r="F7" s="2"/>
      <c r="G7" s="2"/>
      <c r="H7" s="2"/>
      <c r="I7" s="2"/>
      <c r="J7" s="2"/>
    </row>
    <row r="8" spans="1:10" x14ac:dyDescent="0.25">
      <c r="A8" s="17">
        <v>53092493</v>
      </c>
      <c r="B8" s="17" t="s">
        <v>46</v>
      </c>
      <c r="C8" s="17">
        <v>1915000920</v>
      </c>
      <c r="D8" s="38">
        <v>13505523</v>
      </c>
      <c r="E8" s="35">
        <f t="shared" si="0"/>
        <v>8103313.7999999998</v>
      </c>
      <c r="F8" s="2"/>
      <c r="G8" s="2"/>
      <c r="H8" s="2"/>
      <c r="I8" s="2"/>
      <c r="J8" s="2"/>
    </row>
    <row r="9" spans="1:10" x14ac:dyDescent="0.25">
      <c r="A9" s="17">
        <v>1030628436</v>
      </c>
      <c r="B9" s="17" t="s">
        <v>70</v>
      </c>
      <c r="C9" s="17">
        <v>1812000077</v>
      </c>
      <c r="D9" s="38">
        <v>4390446</v>
      </c>
      <c r="E9" s="35">
        <f t="shared" si="0"/>
        <v>2634267.6</v>
      </c>
      <c r="F9" s="2"/>
      <c r="G9" s="2"/>
      <c r="H9" s="2"/>
      <c r="I9" s="2"/>
      <c r="J9" s="2"/>
    </row>
    <row r="10" spans="1:10" x14ac:dyDescent="0.25">
      <c r="A10" s="17">
        <v>60360496</v>
      </c>
      <c r="B10" s="17" t="s">
        <v>40</v>
      </c>
      <c r="C10" s="17">
        <v>1915000102</v>
      </c>
      <c r="D10" s="38">
        <v>23980924</v>
      </c>
      <c r="E10" s="35">
        <f t="shared" si="0"/>
        <v>14388554.4</v>
      </c>
      <c r="F10" s="2"/>
      <c r="G10" s="2"/>
      <c r="H10" s="2"/>
      <c r="I10" s="2"/>
      <c r="J10" s="2"/>
    </row>
    <row r="11" spans="1:10" x14ac:dyDescent="0.25">
      <c r="A11" s="17">
        <v>1023000964</v>
      </c>
      <c r="B11" s="17" t="s">
        <v>13</v>
      </c>
      <c r="C11" s="17">
        <v>1912000038</v>
      </c>
      <c r="D11" s="38">
        <v>10787732</v>
      </c>
      <c r="E11" s="35">
        <f t="shared" si="0"/>
        <v>6472639.2000000002</v>
      </c>
      <c r="F11" s="2"/>
      <c r="G11" s="2"/>
      <c r="H11" s="2"/>
      <c r="I11" s="2"/>
      <c r="J11" s="2"/>
    </row>
    <row r="12" spans="1:10" x14ac:dyDescent="0.25">
      <c r="A12" s="17">
        <v>1018457235</v>
      </c>
      <c r="B12" s="17" t="s">
        <v>30</v>
      </c>
      <c r="C12" s="17">
        <v>1912000183</v>
      </c>
      <c r="D12" s="38">
        <v>11661011</v>
      </c>
      <c r="E12" s="35">
        <f t="shared" si="0"/>
        <v>6996606.5999999996</v>
      </c>
      <c r="F12" s="2"/>
      <c r="G12" s="2"/>
      <c r="H12" s="2"/>
      <c r="I12" s="2"/>
      <c r="J12" s="2"/>
    </row>
    <row r="13" spans="1:10" x14ac:dyDescent="0.25">
      <c r="A13" s="17">
        <v>11231924</v>
      </c>
      <c r="B13" s="17" t="s">
        <v>37</v>
      </c>
      <c r="C13" s="17">
        <v>1912000436</v>
      </c>
      <c r="D13" s="38">
        <v>10982234</v>
      </c>
      <c r="E13" s="35">
        <f t="shared" si="0"/>
        <v>6589340.3999999994</v>
      </c>
      <c r="F13" s="2"/>
      <c r="G13" s="2"/>
      <c r="H13" s="2"/>
      <c r="I13" s="2"/>
      <c r="J13" s="2"/>
    </row>
    <row r="14" spans="1:10" x14ac:dyDescent="0.25">
      <c r="A14" s="17">
        <v>1071580171</v>
      </c>
      <c r="B14" s="17" t="s">
        <v>28</v>
      </c>
      <c r="C14" s="17">
        <v>1815000109</v>
      </c>
      <c r="D14" s="38">
        <v>11266812</v>
      </c>
      <c r="E14" s="35">
        <f t="shared" si="0"/>
        <v>6760087.2000000002</v>
      </c>
      <c r="F14" s="2"/>
      <c r="G14" s="2"/>
      <c r="H14" s="2"/>
      <c r="I14" s="2"/>
      <c r="J14" s="2"/>
    </row>
    <row r="15" spans="1:10" x14ac:dyDescent="0.25">
      <c r="A15" s="17">
        <v>28308101</v>
      </c>
      <c r="B15" s="17" t="s">
        <v>32</v>
      </c>
      <c r="C15" s="17">
        <v>1914000076</v>
      </c>
      <c r="D15" s="38">
        <v>9309966</v>
      </c>
      <c r="E15" s="35">
        <f t="shared" si="0"/>
        <v>5585979.5999999996</v>
      </c>
      <c r="F15" s="2"/>
      <c r="G15" s="2"/>
      <c r="H15" s="2"/>
      <c r="I15" s="2"/>
      <c r="J15" s="2"/>
    </row>
    <row r="16" spans="1:10" x14ac:dyDescent="0.25">
      <c r="A16" s="17">
        <v>79171232</v>
      </c>
      <c r="B16" s="17" t="s">
        <v>33</v>
      </c>
      <c r="C16" s="17">
        <v>1814000231</v>
      </c>
      <c r="D16" s="38">
        <v>9474574</v>
      </c>
      <c r="E16" s="35">
        <f t="shared" si="0"/>
        <v>5684744.3999999994</v>
      </c>
      <c r="F16" s="2"/>
      <c r="G16" s="2"/>
      <c r="H16" s="2"/>
      <c r="I16" s="2"/>
      <c r="J16" s="2"/>
    </row>
    <row r="17" spans="1:10" x14ac:dyDescent="0.25">
      <c r="A17" s="17">
        <v>1022947833</v>
      </c>
      <c r="B17" s="17" t="s">
        <v>49</v>
      </c>
      <c r="C17" s="17">
        <v>1915000354</v>
      </c>
      <c r="D17" s="38">
        <v>6000000</v>
      </c>
      <c r="E17" s="35">
        <f t="shared" si="0"/>
        <v>3600000</v>
      </c>
      <c r="F17" s="2"/>
      <c r="G17" s="2"/>
      <c r="H17" s="2"/>
      <c r="I17" s="2"/>
      <c r="J17" s="2"/>
    </row>
    <row r="18" spans="1:10" x14ac:dyDescent="0.25">
      <c r="A18" s="17">
        <v>41512690</v>
      </c>
      <c r="B18" s="17" t="s">
        <v>74</v>
      </c>
      <c r="C18" s="17">
        <v>1815000007</v>
      </c>
      <c r="D18" s="38">
        <v>4322112</v>
      </c>
      <c r="E18" s="35">
        <f t="shared" si="0"/>
        <v>2593267.1999999997</v>
      </c>
      <c r="F18" s="2"/>
      <c r="G18" s="2"/>
      <c r="H18" s="2"/>
      <c r="I18" s="2"/>
      <c r="J18" s="2"/>
    </row>
    <row r="19" spans="1:10" x14ac:dyDescent="0.25">
      <c r="A19" s="17">
        <v>79486249</v>
      </c>
      <c r="B19" s="17" t="s">
        <v>93</v>
      </c>
      <c r="C19" s="17">
        <v>1911000795</v>
      </c>
      <c r="D19" s="38">
        <v>10943995</v>
      </c>
      <c r="E19" s="35">
        <f t="shared" si="0"/>
        <v>6566397</v>
      </c>
      <c r="F19" s="2"/>
      <c r="G19" s="2"/>
      <c r="H19" s="2"/>
      <c r="I19" s="2"/>
      <c r="J19" s="2"/>
    </row>
    <row r="20" spans="1:10" x14ac:dyDescent="0.25">
      <c r="A20" s="17">
        <v>79405813</v>
      </c>
      <c r="B20" s="17" t="s">
        <v>75</v>
      </c>
      <c r="C20" s="17">
        <v>1812000161</v>
      </c>
      <c r="D20" s="38">
        <v>4280546</v>
      </c>
      <c r="E20" s="35">
        <f t="shared" si="0"/>
        <v>2568327.6</v>
      </c>
      <c r="F20" s="2"/>
      <c r="G20" s="2"/>
      <c r="H20" s="2"/>
      <c r="I20" s="2"/>
      <c r="J20" s="2"/>
    </row>
    <row r="21" spans="1:10" x14ac:dyDescent="0.25">
      <c r="A21" s="17">
        <v>79242071</v>
      </c>
      <c r="B21" s="17" t="s">
        <v>11</v>
      </c>
      <c r="C21" s="17">
        <v>1811000315</v>
      </c>
      <c r="D21" s="38">
        <v>20320796</v>
      </c>
      <c r="E21" s="35">
        <f t="shared" si="0"/>
        <v>12192477.6</v>
      </c>
      <c r="F21" s="2"/>
      <c r="G21" s="2"/>
      <c r="H21" s="2"/>
      <c r="I21" s="2"/>
      <c r="J21" s="2"/>
    </row>
    <row r="22" spans="1:10" x14ac:dyDescent="0.25">
      <c r="A22" s="17">
        <v>79113190</v>
      </c>
      <c r="B22" s="17" t="s">
        <v>16</v>
      </c>
      <c r="C22" s="17">
        <v>1914000035</v>
      </c>
      <c r="D22" s="38">
        <v>5102945</v>
      </c>
      <c r="E22" s="35">
        <f t="shared" si="0"/>
        <v>3061767</v>
      </c>
      <c r="F22" s="2"/>
      <c r="G22" s="2"/>
      <c r="H22" s="2"/>
      <c r="I22" s="2"/>
      <c r="J22" s="2"/>
    </row>
    <row r="23" spans="1:10" x14ac:dyDescent="0.25">
      <c r="A23" s="17">
        <v>1049616971</v>
      </c>
      <c r="B23" s="17" t="s">
        <v>34</v>
      </c>
      <c r="C23" s="17">
        <v>1812000167</v>
      </c>
      <c r="D23" s="38">
        <v>8721136</v>
      </c>
      <c r="E23" s="35">
        <f t="shared" si="0"/>
        <v>5232681.5999999996</v>
      </c>
      <c r="F23" s="2"/>
      <c r="G23" s="2"/>
      <c r="H23" s="2"/>
      <c r="I23" s="2"/>
      <c r="J23" s="2"/>
    </row>
    <row r="24" spans="1:10" x14ac:dyDescent="0.25">
      <c r="A24" s="17">
        <v>20421513</v>
      </c>
      <c r="B24" s="17" t="s">
        <v>35</v>
      </c>
      <c r="C24" s="17">
        <v>1813000105</v>
      </c>
      <c r="D24" s="38">
        <v>6638713</v>
      </c>
      <c r="E24" s="35">
        <f t="shared" si="0"/>
        <v>3983227.8</v>
      </c>
      <c r="F24" s="2"/>
      <c r="G24" s="2"/>
      <c r="H24" s="2"/>
      <c r="I24" s="2"/>
      <c r="J24" s="2"/>
    </row>
    <row r="25" spans="1:10" x14ac:dyDescent="0.25">
      <c r="A25" s="17">
        <v>41633341</v>
      </c>
      <c r="B25" s="17" t="s">
        <v>38</v>
      </c>
      <c r="C25" s="17">
        <v>1913000282</v>
      </c>
      <c r="D25" s="38">
        <v>5780756</v>
      </c>
      <c r="E25" s="35">
        <f t="shared" si="0"/>
        <v>3468453.6</v>
      </c>
      <c r="F25" s="2"/>
      <c r="G25" s="2"/>
      <c r="H25" s="2"/>
      <c r="I25" s="2"/>
      <c r="J25" s="2"/>
    </row>
    <row r="26" spans="1:10" x14ac:dyDescent="0.25">
      <c r="A26" s="17">
        <v>52278408</v>
      </c>
      <c r="B26" s="17" t="s">
        <v>21</v>
      </c>
      <c r="C26" s="17">
        <v>1912000056</v>
      </c>
      <c r="D26" s="38">
        <v>22038382</v>
      </c>
      <c r="E26" s="35">
        <f t="shared" si="0"/>
        <v>13223029.199999999</v>
      </c>
      <c r="F26" s="2"/>
      <c r="G26" s="2"/>
      <c r="H26" s="2"/>
      <c r="I26" s="2"/>
      <c r="J26" s="2"/>
    </row>
    <row r="27" spans="1:10" x14ac:dyDescent="0.25">
      <c r="A27" s="17">
        <v>3195827</v>
      </c>
      <c r="B27" s="17" t="s">
        <v>27</v>
      </c>
      <c r="C27" s="17">
        <v>1913000053</v>
      </c>
      <c r="D27" s="38">
        <v>12728846</v>
      </c>
      <c r="E27" s="35">
        <f t="shared" si="0"/>
        <v>7637307.5999999996</v>
      </c>
      <c r="F27" s="2"/>
      <c r="G27" s="2"/>
      <c r="H27" s="2"/>
      <c r="I27" s="2"/>
      <c r="J27" s="2"/>
    </row>
    <row r="28" spans="1:10" x14ac:dyDescent="0.25">
      <c r="A28" s="17">
        <v>52882815</v>
      </c>
      <c r="B28" s="17" t="s">
        <v>77</v>
      </c>
      <c r="C28" s="17">
        <v>1812000140</v>
      </c>
      <c r="D28" s="38">
        <v>4108716</v>
      </c>
      <c r="E28" s="35">
        <f t="shared" si="0"/>
        <v>2465229.6</v>
      </c>
      <c r="F28" s="2"/>
      <c r="G28" s="2"/>
      <c r="H28" s="2"/>
      <c r="I28" s="2"/>
      <c r="J28" s="2"/>
    </row>
    <row r="29" spans="1:10" x14ac:dyDescent="0.25">
      <c r="A29" s="17">
        <v>1054373297</v>
      </c>
      <c r="B29" s="17" t="s">
        <v>39</v>
      </c>
      <c r="C29" s="17">
        <v>1915000589</v>
      </c>
      <c r="D29" s="38">
        <v>20833955</v>
      </c>
      <c r="E29" s="35">
        <f t="shared" si="0"/>
        <v>12500373</v>
      </c>
      <c r="F29" s="2"/>
      <c r="G29" s="2"/>
      <c r="H29" s="2"/>
      <c r="I29" s="2"/>
      <c r="J29" s="2"/>
    </row>
    <row r="30" spans="1:10" x14ac:dyDescent="0.25">
      <c r="A30" s="17">
        <v>11275058</v>
      </c>
      <c r="B30" s="17" t="s">
        <v>43</v>
      </c>
      <c r="C30" s="17">
        <v>1913000611</v>
      </c>
      <c r="D30" s="38">
        <v>9079072</v>
      </c>
      <c r="E30" s="35">
        <f t="shared" si="0"/>
        <v>5447443.2000000002</v>
      </c>
      <c r="F30" s="2"/>
      <c r="G30" s="2"/>
      <c r="H30" s="2"/>
      <c r="I30" s="2"/>
      <c r="J30" s="2"/>
    </row>
    <row r="31" spans="1:10" x14ac:dyDescent="0.25">
      <c r="A31" s="17">
        <v>1077851834</v>
      </c>
      <c r="B31" s="17" t="s">
        <v>12</v>
      </c>
      <c r="C31" s="17">
        <v>1911000116</v>
      </c>
      <c r="D31" s="38">
        <v>13200000</v>
      </c>
      <c r="E31" s="35">
        <f t="shared" si="0"/>
        <v>7920000</v>
      </c>
      <c r="F31" s="2"/>
      <c r="G31" s="2"/>
      <c r="H31" s="2"/>
      <c r="I31" s="2"/>
      <c r="J31" s="2"/>
    </row>
    <row r="32" spans="1:10" x14ac:dyDescent="0.25">
      <c r="A32" s="17">
        <v>1103106885</v>
      </c>
      <c r="B32" s="17" t="s">
        <v>76</v>
      </c>
      <c r="C32" s="17">
        <v>1815000108</v>
      </c>
      <c r="D32" s="38">
        <v>4179554</v>
      </c>
      <c r="E32" s="35">
        <f t="shared" si="0"/>
        <v>2507732.4</v>
      </c>
      <c r="F32" s="2"/>
      <c r="G32" s="2"/>
      <c r="H32" s="2"/>
      <c r="I32" s="2"/>
      <c r="J32" s="2"/>
    </row>
    <row r="33" spans="1:10" x14ac:dyDescent="0.25">
      <c r="A33" s="17">
        <v>20985438</v>
      </c>
      <c r="B33" s="17" t="s">
        <v>78</v>
      </c>
      <c r="C33" s="17">
        <v>1814000183</v>
      </c>
      <c r="D33" s="38">
        <v>3659173</v>
      </c>
      <c r="E33" s="35">
        <f t="shared" si="0"/>
        <v>2195503.7999999998</v>
      </c>
      <c r="F33" s="2"/>
      <c r="G33" s="2"/>
      <c r="H33" s="2"/>
      <c r="I33" s="2"/>
      <c r="J33" s="2"/>
    </row>
    <row r="34" spans="1:10" x14ac:dyDescent="0.25">
      <c r="A34" s="17">
        <v>80385075</v>
      </c>
      <c r="B34" s="17" t="s">
        <v>79</v>
      </c>
      <c r="C34" s="17">
        <v>1911000082</v>
      </c>
      <c r="D34" s="38">
        <v>3428887</v>
      </c>
      <c r="E34" s="35">
        <f t="shared" ref="E34:E65" si="1">D34*60%</f>
        <v>2057332.2</v>
      </c>
      <c r="F34" s="2"/>
      <c r="G34" s="2"/>
      <c r="H34" s="2"/>
      <c r="I34" s="2"/>
      <c r="J34" s="2"/>
    </row>
    <row r="35" spans="1:10" ht="16.5" customHeight="1" x14ac:dyDescent="0.25">
      <c r="A35" s="17">
        <v>1026297083</v>
      </c>
      <c r="B35" s="17" t="s">
        <v>19</v>
      </c>
      <c r="C35" s="17">
        <v>1915000277</v>
      </c>
      <c r="D35" s="38">
        <v>31000000</v>
      </c>
      <c r="E35" s="35">
        <f t="shared" si="1"/>
        <v>18600000</v>
      </c>
      <c r="F35" s="2"/>
      <c r="G35" s="2"/>
      <c r="H35" s="2"/>
      <c r="I35" s="2"/>
      <c r="J35" s="2"/>
    </row>
    <row r="36" spans="1:10" x14ac:dyDescent="0.25">
      <c r="A36" s="17">
        <v>1022947833</v>
      </c>
      <c r="B36" s="17" t="s">
        <v>49</v>
      </c>
      <c r="C36" s="17">
        <v>1915000164</v>
      </c>
      <c r="D36" s="38">
        <v>4396027</v>
      </c>
      <c r="E36" s="35">
        <f t="shared" si="1"/>
        <v>2637616.1999999997</v>
      </c>
      <c r="F36" s="2"/>
      <c r="G36" s="2"/>
      <c r="H36" s="2"/>
      <c r="I36" s="2"/>
      <c r="J36" s="2"/>
    </row>
    <row r="37" spans="1:10" x14ac:dyDescent="0.25">
      <c r="A37" s="17">
        <v>79316892</v>
      </c>
      <c r="B37" s="17" t="s">
        <v>36</v>
      </c>
      <c r="C37" s="17">
        <v>1911000414</v>
      </c>
      <c r="D37" s="38">
        <v>8950135</v>
      </c>
      <c r="E37" s="35">
        <f t="shared" si="1"/>
        <v>5370081</v>
      </c>
      <c r="F37" s="2"/>
      <c r="G37" s="2"/>
      <c r="H37" s="2"/>
      <c r="I37" s="2"/>
      <c r="J37" s="2"/>
    </row>
    <row r="38" spans="1:10" x14ac:dyDescent="0.25">
      <c r="A38" s="17">
        <v>79497999</v>
      </c>
      <c r="B38" s="17" t="s">
        <v>91</v>
      </c>
      <c r="C38" s="17">
        <v>2315000084</v>
      </c>
      <c r="D38" s="38">
        <v>14408443</v>
      </c>
      <c r="E38" s="35">
        <f t="shared" si="1"/>
        <v>8645065.7999999989</v>
      </c>
      <c r="F38" s="2"/>
      <c r="G38" s="2"/>
      <c r="H38" s="2"/>
      <c r="I38" s="2"/>
      <c r="J38" s="2"/>
    </row>
    <row r="39" spans="1:10" x14ac:dyDescent="0.25">
      <c r="A39" s="17">
        <v>80432268</v>
      </c>
      <c r="B39" s="17" t="s">
        <v>7</v>
      </c>
      <c r="C39" s="17">
        <v>2004439</v>
      </c>
      <c r="D39" s="38">
        <v>6547061</v>
      </c>
      <c r="E39" s="35">
        <f t="shared" si="1"/>
        <v>3928236.5999999996</v>
      </c>
      <c r="F39" s="2"/>
      <c r="G39" s="2"/>
      <c r="H39" s="2"/>
      <c r="I39" s="2"/>
      <c r="J39" s="2"/>
    </row>
    <row r="40" spans="1:10" x14ac:dyDescent="0.25">
      <c r="A40" s="17">
        <v>1019045080</v>
      </c>
      <c r="B40" s="17" t="s">
        <v>81</v>
      </c>
      <c r="C40" s="17">
        <v>1911000217</v>
      </c>
      <c r="D40" s="38">
        <v>497294</v>
      </c>
      <c r="E40" s="35">
        <f t="shared" si="1"/>
        <v>298376.39999999997</v>
      </c>
      <c r="F40" s="2"/>
      <c r="G40" s="2"/>
      <c r="H40" s="2"/>
      <c r="I40" s="2"/>
      <c r="J40" s="2"/>
    </row>
    <row r="41" spans="1:10" x14ac:dyDescent="0.25">
      <c r="A41" s="17">
        <v>20982848</v>
      </c>
      <c r="B41" s="17" t="s">
        <v>72</v>
      </c>
      <c r="C41" s="17">
        <v>1813000101</v>
      </c>
      <c r="D41" s="38">
        <v>5008204</v>
      </c>
      <c r="E41" s="35">
        <f t="shared" si="1"/>
        <v>3004922.4</v>
      </c>
      <c r="F41" s="2"/>
      <c r="G41" s="2"/>
      <c r="H41" s="2"/>
      <c r="I41" s="2"/>
      <c r="J41" s="2"/>
    </row>
    <row r="42" spans="1:10" x14ac:dyDescent="0.25">
      <c r="A42" s="17">
        <v>24434927</v>
      </c>
      <c r="B42" s="17" t="s">
        <v>67</v>
      </c>
      <c r="C42" s="17">
        <v>1812000033</v>
      </c>
      <c r="D42" s="38">
        <v>6355367</v>
      </c>
      <c r="E42" s="35">
        <f t="shared" si="1"/>
        <v>3813220.1999999997</v>
      </c>
      <c r="F42" s="2"/>
      <c r="G42" s="2"/>
      <c r="H42" s="2"/>
      <c r="I42" s="2"/>
      <c r="J42" s="2"/>
    </row>
    <row r="43" spans="1:10" x14ac:dyDescent="0.25">
      <c r="A43" s="17">
        <v>41759274</v>
      </c>
      <c r="B43" s="17" t="s">
        <v>29</v>
      </c>
      <c r="C43" s="17">
        <v>1913000115</v>
      </c>
      <c r="D43" s="38">
        <v>11088181</v>
      </c>
      <c r="E43" s="35">
        <f t="shared" si="1"/>
        <v>6652908.5999999996</v>
      </c>
      <c r="F43" s="2"/>
      <c r="G43" s="2"/>
      <c r="H43" s="2"/>
      <c r="I43" s="2"/>
      <c r="J43" s="2"/>
    </row>
    <row r="44" spans="1:10" x14ac:dyDescent="0.25">
      <c r="A44" s="17">
        <v>65706054</v>
      </c>
      <c r="B44" s="17" t="s">
        <v>14</v>
      </c>
      <c r="C44" s="17">
        <v>1815000075</v>
      </c>
      <c r="D44" s="38">
        <v>9414236</v>
      </c>
      <c r="E44" s="35">
        <f t="shared" si="1"/>
        <v>5648541.5999999996</v>
      </c>
      <c r="F44" s="2"/>
      <c r="G44" s="2"/>
      <c r="H44" s="2"/>
      <c r="I44" s="2"/>
      <c r="J44" s="2"/>
    </row>
    <row r="45" spans="1:10" x14ac:dyDescent="0.25">
      <c r="A45" s="17">
        <v>2986382</v>
      </c>
      <c r="B45" s="17" t="s">
        <v>59</v>
      </c>
      <c r="C45" s="17">
        <v>2004252</v>
      </c>
      <c r="D45" s="38">
        <v>3100241</v>
      </c>
      <c r="E45" s="35">
        <f t="shared" si="1"/>
        <v>1860144.5999999999</v>
      </c>
      <c r="F45" s="2"/>
      <c r="G45" s="2"/>
      <c r="H45" s="2"/>
      <c r="I45" s="2"/>
      <c r="J45" s="2"/>
    </row>
    <row r="46" spans="1:10" x14ac:dyDescent="0.25">
      <c r="A46" s="17">
        <v>53117230</v>
      </c>
      <c r="B46" s="17" t="s">
        <v>15</v>
      </c>
      <c r="C46" s="17">
        <v>1815000103</v>
      </c>
      <c r="D46" s="38">
        <v>7116045</v>
      </c>
      <c r="E46" s="35">
        <f t="shared" si="1"/>
        <v>4269627</v>
      </c>
      <c r="F46" s="2"/>
      <c r="G46" s="2"/>
      <c r="H46" s="2"/>
      <c r="I46" s="2"/>
      <c r="J46" s="2"/>
    </row>
    <row r="47" spans="1:10" x14ac:dyDescent="0.25">
      <c r="A47" s="17">
        <v>1070920575</v>
      </c>
      <c r="B47" s="17" t="s">
        <v>55</v>
      </c>
      <c r="C47" s="17">
        <v>1611000385</v>
      </c>
      <c r="D47" s="38">
        <v>4319744</v>
      </c>
      <c r="E47" s="35">
        <f t="shared" si="1"/>
        <v>2591846.3999999999</v>
      </c>
      <c r="F47" s="2"/>
      <c r="G47" s="2"/>
      <c r="H47" s="2"/>
      <c r="I47" s="2"/>
      <c r="J47" s="2"/>
    </row>
    <row r="48" spans="1:10" x14ac:dyDescent="0.25">
      <c r="A48" s="17">
        <v>93081414</v>
      </c>
      <c r="B48" s="17" t="s">
        <v>107</v>
      </c>
      <c r="C48" s="17">
        <v>1812000074</v>
      </c>
      <c r="D48" s="38">
        <v>5445528</v>
      </c>
      <c r="E48" s="35">
        <f t="shared" si="1"/>
        <v>3267316.8</v>
      </c>
      <c r="F48" s="2"/>
      <c r="G48" s="2"/>
      <c r="H48" s="2"/>
      <c r="I48" s="2"/>
      <c r="J48" s="2"/>
    </row>
    <row r="49" spans="1:10" x14ac:dyDescent="0.25">
      <c r="A49" s="17">
        <v>39740286</v>
      </c>
      <c r="B49" s="17" t="s">
        <v>73</v>
      </c>
      <c r="C49" s="17">
        <v>1814000137</v>
      </c>
      <c r="D49" s="38">
        <v>4403858</v>
      </c>
      <c r="E49" s="35">
        <f t="shared" si="1"/>
        <v>2642314.7999999998</v>
      </c>
      <c r="F49" s="2"/>
      <c r="G49" s="2"/>
      <c r="H49" s="2"/>
      <c r="I49" s="2"/>
      <c r="J49" s="2"/>
    </row>
    <row r="50" spans="1:10" x14ac:dyDescent="0.25">
      <c r="A50" s="17">
        <v>19256474</v>
      </c>
      <c r="B50" s="17" t="s">
        <v>4</v>
      </c>
      <c r="C50" s="17">
        <v>1611000072</v>
      </c>
      <c r="D50" s="38">
        <v>30598905</v>
      </c>
      <c r="E50" s="35">
        <f t="shared" si="1"/>
        <v>18359343</v>
      </c>
      <c r="F50" s="2"/>
      <c r="G50" s="2"/>
      <c r="H50" s="2"/>
      <c r="I50" s="2"/>
      <c r="J50" s="2"/>
    </row>
    <row r="51" spans="1:10" x14ac:dyDescent="0.25">
      <c r="A51" s="17">
        <v>19169518</v>
      </c>
      <c r="B51" s="17" t="s">
        <v>62</v>
      </c>
      <c r="C51" s="17">
        <v>912917</v>
      </c>
      <c r="D51" s="38">
        <v>4354770</v>
      </c>
      <c r="E51" s="35">
        <f t="shared" si="1"/>
        <v>2612862</v>
      </c>
      <c r="F51" s="2"/>
      <c r="G51" s="2"/>
      <c r="H51" s="2"/>
      <c r="I51" s="2"/>
      <c r="J51" s="2"/>
    </row>
    <row r="52" spans="1:10" x14ac:dyDescent="0.25">
      <c r="A52" s="17">
        <v>52792902</v>
      </c>
      <c r="B52" s="17" t="s">
        <v>6</v>
      </c>
      <c r="C52" s="17">
        <v>1611000121</v>
      </c>
      <c r="D52" s="38">
        <v>21062905</v>
      </c>
      <c r="E52" s="35">
        <f t="shared" si="1"/>
        <v>12637743</v>
      </c>
      <c r="F52" s="2"/>
      <c r="G52" s="2"/>
      <c r="H52" s="2"/>
      <c r="I52" s="2"/>
      <c r="J52" s="2"/>
    </row>
    <row r="53" spans="1:10" x14ac:dyDescent="0.25">
      <c r="A53" s="17">
        <v>79276886</v>
      </c>
      <c r="B53" s="17" t="s">
        <v>51</v>
      </c>
      <c r="C53" s="17">
        <v>12000031</v>
      </c>
      <c r="D53" s="38">
        <v>16212613</v>
      </c>
      <c r="E53" s="35">
        <f t="shared" si="1"/>
        <v>9727567.7999999989</v>
      </c>
      <c r="F53" s="2"/>
      <c r="G53" s="2"/>
      <c r="H53" s="2"/>
      <c r="I53" s="2"/>
      <c r="J53" s="2"/>
    </row>
    <row r="54" spans="1:10" x14ac:dyDescent="0.25">
      <c r="A54" s="17">
        <v>35475872</v>
      </c>
      <c r="B54" s="17" t="s">
        <v>119</v>
      </c>
      <c r="C54" s="17">
        <v>1913000331</v>
      </c>
      <c r="D54" s="38">
        <v>1167780</v>
      </c>
      <c r="E54" s="35">
        <f t="shared" si="1"/>
        <v>700668</v>
      </c>
      <c r="F54" s="2"/>
      <c r="G54" s="2"/>
      <c r="H54" s="2"/>
      <c r="I54" s="2"/>
      <c r="J54" s="2"/>
    </row>
    <row r="55" spans="1:10" x14ac:dyDescent="0.25">
      <c r="A55" s="17">
        <v>79382891</v>
      </c>
      <c r="B55" s="17" t="s">
        <v>82</v>
      </c>
      <c r="C55" s="17">
        <v>1911000043</v>
      </c>
      <c r="D55" s="38">
        <v>1838145</v>
      </c>
      <c r="E55" s="35">
        <f t="shared" si="1"/>
        <v>1102887</v>
      </c>
      <c r="F55" s="2"/>
      <c r="G55" s="2"/>
      <c r="H55" s="2"/>
      <c r="I55" s="2"/>
      <c r="J55" s="2"/>
    </row>
    <row r="56" spans="1:10" x14ac:dyDescent="0.25">
      <c r="A56" s="17">
        <v>93151575</v>
      </c>
      <c r="B56" s="17" t="s">
        <v>52</v>
      </c>
      <c r="C56" s="17">
        <v>1613000057</v>
      </c>
      <c r="D56" s="38">
        <v>7282748</v>
      </c>
      <c r="E56" s="35">
        <f t="shared" si="1"/>
        <v>4369648.8</v>
      </c>
      <c r="F56" s="2"/>
      <c r="G56" s="2"/>
      <c r="H56" s="2"/>
      <c r="I56" s="2"/>
      <c r="J56" s="2"/>
    </row>
    <row r="57" spans="1:10" x14ac:dyDescent="0.25">
      <c r="A57" s="17">
        <v>1002525403</v>
      </c>
      <c r="B57" s="17" t="s">
        <v>120</v>
      </c>
      <c r="C57" s="17">
        <v>1914000992</v>
      </c>
      <c r="D57" s="38">
        <v>844897</v>
      </c>
      <c r="E57" s="35">
        <f t="shared" si="1"/>
        <v>506938.19999999995</v>
      </c>
      <c r="F57" s="2"/>
      <c r="G57" s="2"/>
      <c r="H57" s="2"/>
      <c r="I57" s="2"/>
      <c r="J57" s="2"/>
    </row>
    <row r="58" spans="1:10" x14ac:dyDescent="0.25">
      <c r="A58" s="17">
        <v>11381753</v>
      </c>
      <c r="B58" s="17" t="s">
        <v>66</v>
      </c>
      <c r="C58" s="17">
        <v>1612000119</v>
      </c>
      <c r="D58" s="38">
        <v>6463110</v>
      </c>
      <c r="E58" s="35">
        <f t="shared" si="1"/>
        <v>3877866</v>
      </c>
      <c r="F58" s="2"/>
      <c r="G58" s="2"/>
      <c r="H58" s="2"/>
      <c r="I58" s="2"/>
      <c r="J58" s="2"/>
    </row>
    <row r="59" spans="1:10" x14ac:dyDescent="0.25">
      <c r="A59" s="17">
        <v>3003475</v>
      </c>
      <c r="B59" s="17" t="s">
        <v>54</v>
      </c>
      <c r="C59" s="17">
        <v>4001995</v>
      </c>
      <c r="D59" s="38">
        <v>1607183</v>
      </c>
      <c r="E59" s="35">
        <f t="shared" si="1"/>
        <v>964309.79999999993</v>
      </c>
      <c r="F59" s="2"/>
      <c r="G59" s="2"/>
      <c r="H59" s="2"/>
      <c r="I59" s="2"/>
      <c r="J59" s="2"/>
    </row>
    <row r="60" spans="1:10" x14ac:dyDescent="0.25">
      <c r="A60" s="17">
        <v>21058136</v>
      </c>
      <c r="B60" s="17" t="s">
        <v>58</v>
      </c>
      <c r="C60" s="17">
        <v>1614000106</v>
      </c>
      <c r="D60" s="38">
        <v>5161329</v>
      </c>
      <c r="E60" s="35">
        <f t="shared" si="1"/>
        <v>3096797.4</v>
      </c>
      <c r="F60" s="2"/>
      <c r="G60" s="2"/>
      <c r="H60" s="2"/>
      <c r="I60" s="2"/>
      <c r="J60" s="2"/>
    </row>
    <row r="61" spans="1:10" x14ac:dyDescent="0.25">
      <c r="A61" s="17">
        <v>80381827</v>
      </c>
      <c r="B61" s="17" t="s">
        <v>8</v>
      </c>
      <c r="C61" s="17">
        <v>912848</v>
      </c>
      <c r="D61" s="38">
        <v>6368034</v>
      </c>
      <c r="E61" s="35">
        <f t="shared" si="1"/>
        <v>3820820.4</v>
      </c>
      <c r="F61" s="2"/>
      <c r="G61" s="2"/>
      <c r="H61" s="2"/>
      <c r="I61" s="2"/>
      <c r="J61" s="2"/>
    </row>
    <row r="62" spans="1:10" x14ac:dyDescent="0.25">
      <c r="A62" s="17">
        <v>52242180</v>
      </c>
      <c r="B62" s="17" t="s">
        <v>61</v>
      </c>
      <c r="C62" s="17">
        <v>2004127</v>
      </c>
      <c r="D62" s="38">
        <v>4228248</v>
      </c>
      <c r="E62" s="35">
        <f t="shared" si="1"/>
        <v>2536948.7999999998</v>
      </c>
      <c r="F62" s="2"/>
      <c r="G62" s="2"/>
      <c r="H62" s="2"/>
      <c r="I62" s="2"/>
      <c r="J62" s="2"/>
    </row>
    <row r="63" spans="1:10" x14ac:dyDescent="0.25">
      <c r="A63" s="17">
        <v>20985184</v>
      </c>
      <c r="B63" s="17" t="s">
        <v>60</v>
      </c>
      <c r="C63" s="17">
        <v>6002080</v>
      </c>
      <c r="D63" s="38">
        <v>4277245</v>
      </c>
      <c r="E63" s="35">
        <f t="shared" si="1"/>
        <v>2566347</v>
      </c>
      <c r="F63" s="2"/>
      <c r="G63" s="2"/>
      <c r="H63" s="2"/>
      <c r="I63" s="2"/>
      <c r="J63" s="2"/>
    </row>
    <row r="64" spans="1:10" x14ac:dyDescent="0.25">
      <c r="A64" s="17">
        <v>80115927</v>
      </c>
      <c r="B64" s="17" t="s">
        <v>53</v>
      </c>
      <c r="C64" s="17">
        <v>1614000116</v>
      </c>
      <c r="D64" s="38">
        <v>5353130</v>
      </c>
      <c r="E64" s="35">
        <f t="shared" si="1"/>
        <v>3211878</v>
      </c>
      <c r="F64" s="2"/>
      <c r="G64" s="2"/>
      <c r="H64" s="2"/>
      <c r="I64" s="2"/>
      <c r="J64" s="2"/>
    </row>
    <row r="65" spans="1:10" x14ac:dyDescent="0.25">
      <c r="A65" s="17">
        <v>79583564</v>
      </c>
      <c r="B65" s="17" t="s">
        <v>50</v>
      </c>
      <c r="C65" s="17">
        <v>912108</v>
      </c>
      <c r="D65" s="38">
        <v>5197532</v>
      </c>
      <c r="E65" s="35">
        <f t="shared" si="1"/>
        <v>3118519.1999999997</v>
      </c>
      <c r="F65" s="2"/>
      <c r="G65" s="2"/>
      <c r="H65" s="2"/>
      <c r="I65" s="2"/>
      <c r="J65" s="2"/>
    </row>
    <row r="66" spans="1:10" x14ac:dyDescent="0.25">
      <c r="A66" s="17">
        <v>52878484</v>
      </c>
      <c r="B66" s="17" t="s">
        <v>26</v>
      </c>
      <c r="C66" s="17">
        <v>1912000176</v>
      </c>
      <c r="D66" s="38">
        <v>14295319</v>
      </c>
      <c r="E66" s="35">
        <f t="shared" ref="E66:E81" si="2">D66*60%</f>
        <v>8577191.4000000004</v>
      </c>
      <c r="F66" s="2"/>
      <c r="G66" s="2"/>
      <c r="H66" s="2"/>
      <c r="I66" s="2"/>
      <c r="J66" s="2"/>
    </row>
    <row r="67" spans="1:10" x14ac:dyDescent="0.25">
      <c r="A67" s="17">
        <v>79168110</v>
      </c>
      <c r="B67" s="17" t="s">
        <v>23</v>
      </c>
      <c r="C67" s="17">
        <v>1914000242</v>
      </c>
      <c r="D67" s="38">
        <v>6596937</v>
      </c>
      <c r="E67" s="35">
        <f t="shared" si="2"/>
        <v>3958162.1999999997</v>
      </c>
      <c r="F67" s="2"/>
      <c r="G67" s="2"/>
      <c r="H67" s="2"/>
      <c r="I67" s="2"/>
      <c r="J67" s="2"/>
    </row>
    <row r="68" spans="1:10" x14ac:dyDescent="0.25">
      <c r="A68" s="17">
        <v>79563609</v>
      </c>
      <c r="B68" s="17" t="s">
        <v>41</v>
      </c>
      <c r="C68" s="17">
        <v>1915000517</v>
      </c>
      <c r="D68" s="38">
        <v>3165931</v>
      </c>
      <c r="E68" s="35">
        <f t="shared" si="2"/>
        <v>1899558.5999999999</v>
      </c>
      <c r="F68" s="2"/>
      <c r="G68" s="2"/>
      <c r="H68" s="2"/>
      <c r="I68" s="2"/>
      <c r="J68" s="2"/>
    </row>
    <row r="69" spans="1:10" x14ac:dyDescent="0.25">
      <c r="A69" s="17">
        <v>79180184</v>
      </c>
      <c r="B69" s="17" t="s">
        <v>25</v>
      </c>
      <c r="C69" s="17">
        <v>1914000190</v>
      </c>
      <c r="D69" s="38">
        <v>9956927</v>
      </c>
      <c r="E69" s="35">
        <f t="shared" si="2"/>
        <v>5974156.2000000002</v>
      </c>
      <c r="F69" s="2"/>
      <c r="G69" s="2"/>
      <c r="H69" s="2"/>
      <c r="I69" s="2"/>
      <c r="J69" s="2"/>
    </row>
    <row r="70" spans="1:10" x14ac:dyDescent="0.25">
      <c r="A70" s="17">
        <v>11446336</v>
      </c>
      <c r="B70" s="17" t="s">
        <v>20</v>
      </c>
      <c r="C70" s="17">
        <v>1911000495</v>
      </c>
      <c r="D70" s="38">
        <v>17568297</v>
      </c>
      <c r="E70" s="35">
        <f t="shared" si="2"/>
        <v>10540978.199999999</v>
      </c>
      <c r="F70" s="2"/>
      <c r="G70" s="2"/>
      <c r="H70" s="2"/>
      <c r="I70" s="2"/>
      <c r="J70" s="2"/>
    </row>
    <row r="71" spans="1:10" x14ac:dyDescent="0.25">
      <c r="A71" s="17">
        <v>41722180</v>
      </c>
      <c r="B71" s="17" t="s">
        <v>5</v>
      </c>
      <c r="C71" s="17">
        <v>4002409</v>
      </c>
      <c r="D71" s="38">
        <v>312176</v>
      </c>
      <c r="E71" s="35">
        <f t="shared" si="2"/>
        <v>187305.60000000001</v>
      </c>
      <c r="F71" s="2"/>
      <c r="G71" s="2"/>
      <c r="H71" s="2"/>
      <c r="I71" s="2"/>
      <c r="J71" s="2"/>
    </row>
    <row r="72" spans="1:10" x14ac:dyDescent="0.25">
      <c r="A72" s="17">
        <v>4149130</v>
      </c>
      <c r="B72" s="17" t="s">
        <v>22</v>
      </c>
      <c r="C72" s="17">
        <v>1915000207</v>
      </c>
      <c r="D72" s="38">
        <v>19773005</v>
      </c>
      <c r="E72" s="35">
        <f t="shared" si="2"/>
        <v>11863803</v>
      </c>
      <c r="F72" s="2"/>
      <c r="G72" s="2"/>
      <c r="H72" s="2"/>
      <c r="I72" s="2"/>
      <c r="J72" s="2"/>
    </row>
    <row r="73" spans="1:10" x14ac:dyDescent="0.25">
      <c r="A73" s="17">
        <v>1052086132</v>
      </c>
      <c r="B73" s="17" t="s">
        <v>24</v>
      </c>
      <c r="C73" s="17">
        <v>1914000225</v>
      </c>
      <c r="D73" s="38">
        <v>2833089</v>
      </c>
      <c r="E73" s="35">
        <f t="shared" si="2"/>
        <v>1699853.4</v>
      </c>
      <c r="F73" s="2"/>
      <c r="G73" s="2"/>
      <c r="H73" s="2"/>
      <c r="I73" s="2"/>
      <c r="J73" s="2"/>
    </row>
    <row r="74" spans="1:10" x14ac:dyDescent="0.25">
      <c r="A74" s="17">
        <v>79169217</v>
      </c>
      <c r="B74" s="17" t="s">
        <v>9</v>
      </c>
      <c r="C74" s="17">
        <v>1814000146</v>
      </c>
      <c r="D74" s="38">
        <v>1757306</v>
      </c>
      <c r="E74" s="35">
        <f t="shared" si="2"/>
        <v>1054383.5999999999</v>
      </c>
      <c r="F74" s="2"/>
      <c r="G74" s="2"/>
      <c r="H74" s="2"/>
      <c r="I74" s="2"/>
      <c r="J74" s="2"/>
    </row>
    <row r="75" spans="1:10" x14ac:dyDescent="0.25">
      <c r="A75" s="17">
        <v>71994138</v>
      </c>
      <c r="B75" s="17" t="s">
        <v>57</v>
      </c>
      <c r="C75" s="17">
        <v>3003235</v>
      </c>
      <c r="D75" s="38">
        <v>2325421</v>
      </c>
      <c r="E75" s="35">
        <f t="shared" si="2"/>
        <v>1395252.5999999999</v>
      </c>
      <c r="F75" s="2"/>
      <c r="G75" s="2"/>
      <c r="H75" s="2"/>
      <c r="I75" s="2"/>
      <c r="J75" s="2"/>
    </row>
    <row r="76" spans="1:10" x14ac:dyDescent="0.25">
      <c r="A76" s="17">
        <v>3183437</v>
      </c>
      <c r="B76" s="17" t="s">
        <v>63</v>
      </c>
      <c r="C76" s="17">
        <v>13000038</v>
      </c>
      <c r="D76" s="38">
        <v>3537957</v>
      </c>
      <c r="E76" s="35">
        <f t="shared" si="2"/>
        <v>2122774.1999999997</v>
      </c>
      <c r="F76" s="2"/>
      <c r="G76" s="2"/>
      <c r="H76" s="2"/>
      <c r="I76" s="2"/>
      <c r="J76" s="2"/>
    </row>
    <row r="77" spans="1:10" x14ac:dyDescent="0.25">
      <c r="A77" s="17">
        <v>7221044</v>
      </c>
      <c r="B77" s="17" t="s">
        <v>80</v>
      </c>
      <c r="C77" s="17">
        <v>1915000044</v>
      </c>
      <c r="D77" s="38">
        <v>1557530</v>
      </c>
      <c r="E77" s="35">
        <f t="shared" si="2"/>
        <v>934518</v>
      </c>
      <c r="F77" s="2"/>
      <c r="G77" s="2"/>
      <c r="H77" s="2"/>
      <c r="I77" s="2"/>
      <c r="J77" s="2"/>
    </row>
    <row r="78" spans="1:10" s="44" customFormat="1" x14ac:dyDescent="0.25">
      <c r="A78" s="17">
        <v>39744684</v>
      </c>
      <c r="B78" s="17" t="s">
        <v>64</v>
      </c>
      <c r="C78" s="17">
        <v>1614000036</v>
      </c>
      <c r="D78" s="38">
        <v>1355692</v>
      </c>
      <c r="E78" s="35">
        <f t="shared" si="2"/>
        <v>813415.2</v>
      </c>
      <c r="F78" s="16"/>
      <c r="G78" s="16"/>
      <c r="H78" s="16"/>
      <c r="I78" s="16"/>
      <c r="J78" s="16"/>
    </row>
    <row r="79" spans="1:10" s="44" customFormat="1" x14ac:dyDescent="0.25">
      <c r="A79" s="17">
        <v>52663528</v>
      </c>
      <c r="B79" s="17" t="s">
        <v>65</v>
      </c>
      <c r="C79" s="17">
        <v>1613000175</v>
      </c>
      <c r="D79" s="38">
        <v>1908763</v>
      </c>
      <c r="E79" s="35">
        <f t="shared" si="2"/>
        <v>1145257.8</v>
      </c>
      <c r="F79" s="16"/>
      <c r="G79" s="16"/>
      <c r="H79" s="16"/>
      <c r="I79" s="16"/>
      <c r="J79" s="16"/>
    </row>
    <row r="80" spans="1:10" s="44" customFormat="1" x14ac:dyDescent="0.25">
      <c r="A80" s="17">
        <v>3188662</v>
      </c>
      <c r="B80" s="17" t="s">
        <v>56</v>
      </c>
      <c r="C80" s="17">
        <v>2004566</v>
      </c>
      <c r="D80" s="38">
        <v>1403265</v>
      </c>
      <c r="E80" s="35">
        <f t="shared" si="2"/>
        <v>841959</v>
      </c>
      <c r="F80" s="16"/>
      <c r="G80" s="16"/>
      <c r="H80" s="16"/>
      <c r="I80" s="16"/>
      <c r="J80" s="16"/>
    </row>
    <row r="81" spans="1:10" s="44" customFormat="1" x14ac:dyDescent="0.25">
      <c r="A81" s="17">
        <v>39737619</v>
      </c>
      <c r="B81" s="17" t="s">
        <v>10</v>
      </c>
      <c r="C81" s="17">
        <v>1814000131</v>
      </c>
      <c r="D81" s="38">
        <v>11325973</v>
      </c>
      <c r="E81" s="35">
        <f t="shared" si="2"/>
        <v>6795583.7999999998</v>
      </c>
      <c r="F81" s="16"/>
      <c r="G81" s="16"/>
      <c r="H81" s="16"/>
      <c r="I81" s="16"/>
      <c r="J81" s="16"/>
    </row>
    <row r="82" spans="1:10" x14ac:dyDescent="0.25">
      <c r="E82" s="47">
        <f>SUM(E2:E81)</f>
        <v>437431804.79999995</v>
      </c>
    </row>
  </sheetData>
  <pageMargins left="0.25" right="0.25" top="0.75" bottom="0.75" header="0.3" footer="0.3"/>
  <pageSetup scale="8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374413-3898-4EEE-A776-8BA95CC7DAC4}">
  <dimension ref="A1:H2"/>
  <sheetViews>
    <sheetView workbookViewId="0">
      <selection activeCell="D1" sqref="D1:H1"/>
    </sheetView>
  </sheetViews>
  <sheetFormatPr baseColWidth="10" defaultRowHeight="15" x14ac:dyDescent="0.25"/>
  <cols>
    <col min="4" max="4" width="29" customWidth="1"/>
    <col min="5" max="5" width="20.28515625" customWidth="1"/>
    <col min="6" max="6" width="30.5703125" customWidth="1"/>
    <col min="7" max="7" width="21.7109375" customWidth="1"/>
    <col min="8" max="8" width="18.28515625" customWidth="1"/>
  </cols>
  <sheetData>
    <row r="1" spans="1:8" ht="60.75" thickBot="1" x14ac:dyDescent="0.3">
      <c r="A1" s="51" t="s">
        <v>122</v>
      </c>
      <c r="B1" s="51" t="s">
        <v>144</v>
      </c>
      <c r="C1" s="51" t="s">
        <v>145</v>
      </c>
      <c r="D1" s="51" t="s">
        <v>146</v>
      </c>
      <c r="E1" s="51" t="s">
        <v>147</v>
      </c>
      <c r="F1" s="51" t="s">
        <v>148</v>
      </c>
      <c r="G1" s="51" t="s">
        <v>149</v>
      </c>
      <c r="H1" s="51" t="s">
        <v>143</v>
      </c>
    </row>
    <row r="2" spans="1:8" ht="29.25" thickBot="1" x14ac:dyDescent="0.3">
      <c r="A2" s="52">
        <v>123456</v>
      </c>
      <c r="B2" s="52" t="s">
        <v>150</v>
      </c>
      <c r="C2" s="52">
        <v>1</v>
      </c>
      <c r="D2" s="52">
        <v>573000000000</v>
      </c>
      <c r="E2" s="52" t="s">
        <v>151</v>
      </c>
      <c r="F2" s="52" t="s">
        <v>152</v>
      </c>
      <c r="G2" s="52">
        <v>573111111111</v>
      </c>
      <c r="H2" s="52" t="s">
        <v>153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9"/>
  <sheetViews>
    <sheetView workbookViewId="0">
      <selection activeCell="J20" sqref="J20"/>
    </sheetView>
  </sheetViews>
  <sheetFormatPr baseColWidth="10" defaultRowHeight="15" x14ac:dyDescent="0.25"/>
  <cols>
    <col min="1" max="1" width="35.28515625" customWidth="1"/>
    <col min="2" max="2" width="16.85546875" customWidth="1"/>
    <col min="3" max="3" width="9.7109375" customWidth="1"/>
    <col min="4" max="4" width="37.85546875" customWidth="1"/>
    <col min="5" max="5" width="14.42578125" customWidth="1"/>
    <col min="6" max="6" width="11.7109375" customWidth="1"/>
  </cols>
  <sheetData>
    <row r="1" spans="1:7" ht="18.75" x14ac:dyDescent="0.3">
      <c r="A1" s="48" t="s">
        <v>138</v>
      </c>
      <c r="B1" s="48"/>
      <c r="C1" s="48"/>
      <c r="D1" s="48"/>
      <c r="E1" s="48"/>
      <c r="F1" s="48"/>
    </row>
    <row r="2" spans="1:7" ht="18.75" x14ac:dyDescent="0.3">
      <c r="A2" s="3"/>
      <c r="B2" s="3" t="s">
        <v>130</v>
      </c>
      <c r="C2" s="15" t="s">
        <v>129</v>
      </c>
      <c r="D2" s="4"/>
      <c r="E2" s="4" t="s">
        <v>130</v>
      </c>
      <c r="F2" s="15" t="s">
        <v>129</v>
      </c>
    </row>
    <row r="3" spans="1:7" x14ac:dyDescent="0.25">
      <c r="A3" s="2" t="s">
        <v>125</v>
      </c>
      <c r="B3" s="5">
        <v>90530905</v>
      </c>
      <c r="C3" s="6">
        <v>11</v>
      </c>
      <c r="D3" s="2" t="s">
        <v>126</v>
      </c>
      <c r="E3" s="5">
        <v>295372448</v>
      </c>
      <c r="F3" s="7">
        <v>38</v>
      </c>
    </row>
    <row r="4" spans="1:7" x14ac:dyDescent="0.25">
      <c r="A4" s="2" t="s">
        <v>127</v>
      </c>
      <c r="B4" s="5">
        <v>176458764</v>
      </c>
      <c r="C4" s="7">
        <v>16</v>
      </c>
      <c r="D4" s="2" t="s">
        <v>135</v>
      </c>
      <c r="E4" s="5">
        <v>339204725</v>
      </c>
      <c r="F4" s="7">
        <v>28</v>
      </c>
    </row>
    <row r="5" spans="1:7" x14ac:dyDescent="0.25">
      <c r="A5" s="2" t="s">
        <v>128</v>
      </c>
      <c r="B5" s="5">
        <v>115927279</v>
      </c>
      <c r="C5" s="7">
        <v>18</v>
      </c>
      <c r="D5" s="2" t="s">
        <v>136</v>
      </c>
      <c r="E5" s="5">
        <v>196968437</v>
      </c>
      <c r="F5" s="7">
        <v>17</v>
      </c>
    </row>
    <row r="6" spans="1:7" x14ac:dyDescent="0.25">
      <c r="A6" s="8"/>
      <c r="B6" s="9"/>
      <c r="C6" s="10"/>
      <c r="D6" s="8"/>
      <c r="E6" s="9"/>
      <c r="F6" s="10"/>
      <c r="G6" s="8"/>
    </row>
    <row r="7" spans="1:7" x14ac:dyDescent="0.25">
      <c r="A7" s="11" t="s">
        <v>131</v>
      </c>
      <c r="B7" s="12">
        <f>SUM(B3:B6)</f>
        <v>382916948</v>
      </c>
      <c r="C7" s="13">
        <v>45</v>
      </c>
      <c r="D7" s="11" t="s">
        <v>132</v>
      </c>
      <c r="E7" s="12">
        <f>SUM(E3:E6)</f>
        <v>831545610</v>
      </c>
      <c r="F7" s="14">
        <f>SUM(F3:F6)</f>
        <v>83</v>
      </c>
    </row>
    <row r="8" spans="1:7" x14ac:dyDescent="0.25">
      <c r="B8" s="1"/>
    </row>
    <row r="12" spans="1:7" ht="21" x14ac:dyDescent="0.35">
      <c r="A12" s="49" t="s">
        <v>137</v>
      </c>
      <c r="B12" s="49"/>
      <c r="C12" s="49"/>
      <c r="D12" s="49"/>
      <c r="E12" s="49"/>
      <c r="F12" s="49"/>
    </row>
    <row r="13" spans="1:7" x14ac:dyDescent="0.25">
      <c r="A13" s="50" t="s">
        <v>124</v>
      </c>
      <c r="B13" s="50"/>
      <c r="C13" s="50"/>
      <c r="D13" s="50"/>
      <c r="E13" s="50"/>
      <c r="F13" s="50"/>
    </row>
    <row r="14" spans="1:7" ht="18.75" x14ac:dyDescent="0.3">
      <c r="A14" s="20"/>
      <c r="B14" s="20" t="s">
        <v>130</v>
      </c>
      <c r="C14" s="21" t="s">
        <v>129</v>
      </c>
      <c r="D14" s="22"/>
      <c r="E14" s="22" t="s">
        <v>130</v>
      </c>
      <c r="F14" s="21" t="s">
        <v>129</v>
      </c>
    </row>
    <row r="15" spans="1:7" x14ac:dyDescent="0.25">
      <c r="A15" s="23" t="s">
        <v>125</v>
      </c>
      <c r="B15" s="24">
        <v>90530905</v>
      </c>
      <c r="C15" s="25">
        <v>11</v>
      </c>
      <c r="D15" s="23" t="s">
        <v>126</v>
      </c>
      <c r="E15" s="24">
        <v>328582180</v>
      </c>
      <c r="F15" s="26">
        <v>39</v>
      </c>
    </row>
    <row r="16" spans="1:7" x14ac:dyDescent="0.25">
      <c r="A16" s="23" t="s">
        <v>127</v>
      </c>
      <c r="B16" s="24">
        <v>300928133</v>
      </c>
      <c r="C16" s="26">
        <v>20</v>
      </c>
      <c r="D16" s="23" t="s">
        <v>135</v>
      </c>
      <c r="E16" s="24">
        <v>369134729</v>
      </c>
      <c r="F16" s="26">
        <v>28</v>
      </c>
    </row>
    <row r="17" spans="1:6" x14ac:dyDescent="0.25">
      <c r="A17" s="23" t="s">
        <v>128</v>
      </c>
      <c r="B17" s="24">
        <v>117795002</v>
      </c>
      <c r="C17" s="26">
        <v>18</v>
      </c>
      <c r="D17" s="23" t="s">
        <v>136</v>
      </c>
      <c r="E17" s="24">
        <v>197685719</v>
      </c>
      <c r="F17" s="26">
        <v>17</v>
      </c>
    </row>
    <row r="18" spans="1:6" x14ac:dyDescent="0.25">
      <c r="A18" s="27"/>
      <c r="B18" s="28"/>
      <c r="C18" s="29"/>
      <c r="D18" s="27"/>
      <c r="E18" s="28"/>
      <c r="F18" s="29"/>
    </row>
    <row r="19" spans="1:6" x14ac:dyDescent="0.25">
      <c r="A19" s="30" t="s">
        <v>131</v>
      </c>
      <c r="B19" s="31">
        <v>389194554</v>
      </c>
      <c r="C19" s="32">
        <v>49</v>
      </c>
      <c r="D19" s="30" t="s">
        <v>132</v>
      </c>
      <c r="E19" s="31">
        <v>852953699</v>
      </c>
      <c r="F19" s="33">
        <f>SUM(F15:F18)</f>
        <v>84</v>
      </c>
    </row>
  </sheetData>
  <mergeCells count="3">
    <mergeCell ref="A1:F1"/>
    <mergeCell ref="A12:F12"/>
    <mergeCell ref="A13:F13"/>
  </mergeCells>
  <pageMargins left="0.70866141732283472" right="0.70866141732283472" top="0.74803149606299213" bottom="0.74803149606299213" header="0.31496062992125984" footer="0.31496062992125984"/>
  <pageSetup scale="8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ACTIVO</vt:lpstr>
      <vt:lpstr>CASTIGADO</vt:lpstr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Angie Moreno</dc:creator>
  <cp:lastModifiedBy>DIEGO  ANDRES DIEGO  BARRERA</cp:lastModifiedBy>
  <cp:lastPrinted>2026-06-30T13:03:46Z</cp:lastPrinted>
  <dcterms:created xsi:type="dcterms:W3CDTF">2026-03-20T21:14:26Z</dcterms:created>
  <dcterms:modified xsi:type="dcterms:W3CDTF">2026-08-19T16:57:14Z</dcterms:modified>
</cp:coreProperties>
</file>